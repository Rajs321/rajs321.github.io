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tables/table8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pivotTables/pivotTable2.xml" ContentType="application/vnd.openxmlformats-officedocument.spreadsheetml.pivotTable+xml"/>
  <Override PartName="/xl/drawings/drawing5.xml" ContentType="application/vnd.openxmlformats-officedocument.drawing+xml"/>
  <Override PartName="/xl/tables/table16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b7e320d18e1f54c1/Documents/DATA WORK/EXCEL/Data work for football/HTAFC/NEW MODEL/MODEL VERSIONS/Demo v1.2/"/>
    </mc:Choice>
  </mc:AlternateContent>
  <xr:revisionPtr revIDLastSave="3192" documentId="8_{60E36ABB-5270-4828-964B-19C7E0A1E47F}" xr6:coauthVersionLast="47" xr6:coauthVersionMax="47" xr10:uidLastSave="{89607FF5-482D-400C-B33E-CBE661D7888A}"/>
  <workbookProtection lockStructure="1"/>
  <bookViews>
    <workbookView xWindow="-120" yWindow="-16320" windowWidth="29040" windowHeight="15720" firstSheet="1" activeTab="2" xr2:uid="{7269060D-0712-4AF1-BFBD-FEAF37FBFEF2}"/>
  </bookViews>
  <sheets>
    <sheet name="Cover" sheetId="25" r:id="rId1"/>
    <sheet name="User Guide" sheetId="19" r:id="rId2"/>
    <sheet name="Dashboard" sheetId="26" r:id="rId3"/>
    <sheet name="Data Entry" sheetId="2" r:id="rId4"/>
    <sheet name="Processed Data" sheetId="1" r:id="rId5"/>
    <sheet name="Dynamic Graphs" sheetId="17" r:id="rId6"/>
    <sheet name="Womens Data" sheetId="21" r:id="rId7"/>
    <sheet name="Womens Manipulated Data" sheetId="23" r:id="rId8"/>
    <sheet name="Womens Dynamic Graphs" sheetId="24" r:id="rId9"/>
  </sheets>
  <definedNames>
    <definedName name="ExternalData_1" localSheetId="5" hidden="1">'Dynamic Graphs'!$A$22:$C$442</definedName>
    <definedName name="ExternalData_1" localSheetId="8" hidden="1">'Womens Dynamic Graphs'!$A$23:$C$443</definedName>
    <definedName name="Slicer_Metric">#N/A</definedName>
    <definedName name="Slicer_Metric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R1" i="1" l="1"/>
  <c r="CJ1" i="1"/>
  <c r="CB1" i="1"/>
  <c r="BT1" i="1"/>
  <c r="BM1" i="1"/>
  <c r="BE1" i="1"/>
  <c r="AV1" i="1"/>
  <c r="AN1" i="1"/>
  <c r="AF1" i="1"/>
  <c r="X1" i="1"/>
  <c r="P1" i="1"/>
  <c r="I1" i="1"/>
  <c r="A1" i="1"/>
  <c r="CQ3" i="26"/>
  <c r="CD3" i="26"/>
  <c r="CF3" i="26" s="1"/>
  <c r="BZ3" i="26"/>
  <c r="CJ23" i="26" a="1"/>
  <c r="CJ23" i="26" s="1"/>
  <c r="CL23" i="26" s="1" a="1"/>
  <c r="CL23" i="26" s="1"/>
  <c r="CB23" i="26" a="1"/>
  <c r="CB23" i="26" s="1"/>
  <c r="BZ23" i="26"/>
  <c r="BX23" i="26" a="1"/>
  <c r="BX23" i="26" s="1"/>
  <c r="BU17" i="26"/>
  <c r="BX17" i="26" s="1"/>
  <c r="BU16" i="26"/>
  <c r="BX16" i="26" s="1"/>
  <c r="CB16" i="26" s="1"/>
  <c r="CC16" i="26" s="1" a="1"/>
  <c r="CC16" i="26" s="1"/>
  <c r="BU15" i="26"/>
  <c r="BX15" i="26" s="1"/>
  <c r="CB15" i="26" s="1"/>
  <c r="CC15" i="26" s="1" a="1"/>
  <c r="CC15" i="26" s="1"/>
  <c r="BU14" i="26"/>
  <c r="BX14" i="26" s="1"/>
  <c r="CB14" i="26" s="1"/>
  <c r="CC14" i="26" s="1" a="1"/>
  <c r="CC14" i="26" s="1"/>
  <c r="BU13" i="26"/>
  <c r="BX13" i="26" s="1"/>
  <c r="BU12" i="26"/>
  <c r="BX12" i="26" s="1"/>
  <c r="BU11" i="26"/>
  <c r="BX11" i="26" s="1"/>
  <c r="BU10" i="26"/>
  <c r="BX10" i="26" s="1"/>
  <c r="CB10" i="26" s="1"/>
  <c r="CC10" i="26" s="1" a="1"/>
  <c r="CC10" i="26" s="1"/>
  <c r="CG9" i="26"/>
  <c r="BU9" i="26"/>
  <c r="BX9" i="26" s="1"/>
  <c r="BU8" i="26"/>
  <c r="BX8" i="26" s="1"/>
  <c r="BR8" i="26"/>
  <c r="BU7" i="26"/>
  <c r="BX7" i="26" s="1"/>
  <c r="CB7" i="26" s="1"/>
  <c r="CC7" i="26" s="1" a="1"/>
  <c r="CC7" i="26" s="1"/>
  <c r="BR7" i="26"/>
  <c r="BU6" i="26"/>
  <c r="BX6" i="26" s="1"/>
  <c r="BR6" i="26"/>
  <c r="BU5" i="26"/>
  <c r="BX5" i="26" s="1"/>
  <c r="BR5" i="26"/>
  <c r="BU4" i="26"/>
  <c r="BX4" i="26" s="1"/>
  <c r="BR4" i="26"/>
  <c r="BR3" i="26"/>
  <c r="BB2" i="26" a="1"/>
  <c r="BB2" i="26" s="1"/>
  <c r="BB3" i="26" s="1" a="1"/>
  <c r="BJ15" i="26" s="1" a="1"/>
  <c r="BJ15" i="26" s="1"/>
  <c r="BN15" i="26" s="1" a="1"/>
  <c r="BN15" i="26" s="1"/>
  <c r="W3" i="26"/>
  <c r="AC6" i="2"/>
  <c r="CT48" i="23"/>
  <c r="CL48" i="23"/>
  <c r="CD48" i="23"/>
  <c r="BV48" i="23"/>
  <c r="BO48" i="23"/>
  <c r="BG48" i="23"/>
  <c r="AY48" i="23"/>
  <c r="AX48" i="23"/>
  <c r="AP48" i="23"/>
  <c r="AH48" i="23"/>
  <c r="AA48" i="23"/>
  <c r="Z48" i="23"/>
  <c r="R48" i="23"/>
  <c r="K48" i="23"/>
  <c r="C48" i="23"/>
  <c r="CT47" i="23"/>
  <c r="CL47" i="23"/>
  <c r="CD47" i="23"/>
  <c r="BV47" i="23"/>
  <c r="BP47" i="23"/>
  <c r="BO47" i="23"/>
  <c r="BH47" i="23"/>
  <c r="BG47" i="23"/>
  <c r="AX47" i="23"/>
  <c r="AP47" i="23"/>
  <c r="AH47" i="23"/>
  <c r="Z47" i="23"/>
  <c r="R47" i="23"/>
  <c r="K47" i="23"/>
  <c r="C47" i="23"/>
  <c r="CT46" i="23"/>
  <c r="CM46" i="23"/>
  <c r="CL46" i="23"/>
  <c r="CD46" i="23"/>
  <c r="BW46" i="23"/>
  <c r="BV46" i="23"/>
  <c r="BO46" i="23"/>
  <c r="BG46" i="23"/>
  <c r="AX46" i="23"/>
  <c r="AP46" i="23"/>
  <c r="AH46" i="23"/>
  <c r="Z46" i="23"/>
  <c r="R46" i="23"/>
  <c r="K46" i="23"/>
  <c r="C46" i="23"/>
  <c r="CT42" i="23"/>
  <c r="CL42" i="23"/>
  <c r="CE42" i="23"/>
  <c r="CD42" i="23"/>
  <c r="BV42" i="23"/>
  <c r="BO42" i="23"/>
  <c r="BG42" i="23"/>
  <c r="AX42" i="23"/>
  <c r="AP42" i="23"/>
  <c r="AH42" i="23"/>
  <c r="Z42" i="23"/>
  <c r="S42" i="23"/>
  <c r="R42" i="23"/>
  <c r="L42" i="23"/>
  <c r="K42" i="23"/>
  <c r="C42" i="23"/>
  <c r="CT41" i="23"/>
  <c r="CL41" i="23"/>
  <c r="CD41" i="23"/>
  <c r="BV41" i="23"/>
  <c r="BO41" i="23"/>
  <c r="BG41" i="23"/>
  <c r="AX41" i="23"/>
  <c r="AQ41" i="23"/>
  <c r="AP41" i="23"/>
  <c r="AH41" i="23"/>
  <c r="Z41" i="23"/>
  <c r="R41" i="23"/>
  <c r="K41" i="23"/>
  <c r="C41" i="23"/>
  <c r="CT40" i="23"/>
  <c r="CL40" i="23"/>
  <c r="CD40" i="23"/>
  <c r="BV40" i="23"/>
  <c r="BO40" i="23"/>
  <c r="BH40" i="23"/>
  <c r="BG40" i="23"/>
  <c r="AX40" i="23"/>
  <c r="AP40" i="23"/>
  <c r="AI40" i="23"/>
  <c r="AH40" i="23"/>
  <c r="Z40" i="23"/>
  <c r="R40" i="23"/>
  <c r="K40" i="23"/>
  <c r="C40" i="23"/>
  <c r="CT39" i="23"/>
  <c r="CL39" i="23"/>
  <c r="CD39" i="23"/>
  <c r="BW39" i="23"/>
  <c r="BV39" i="23"/>
  <c r="BP39" i="23"/>
  <c r="BO39" i="23"/>
  <c r="BG39" i="23"/>
  <c r="AX39" i="23"/>
  <c r="AP39" i="23"/>
  <c r="AH39" i="23"/>
  <c r="Z39" i="23"/>
  <c r="R39" i="23"/>
  <c r="K39" i="23"/>
  <c r="C39" i="23"/>
  <c r="CU35" i="23"/>
  <c r="CT35" i="23"/>
  <c r="CL35" i="23"/>
  <c r="CE35" i="23"/>
  <c r="CD35" i="23"/>
  <c r="BV35" i="23"/>
  <c r="BO35" i="23"/>
  <c r="BG35" i="23"/>
  <c r="AX35" i="23"/>
  <c r="AP35" i="23"/>
  <c r="AH35" i="23"/>
  <c r="Z35" i="23"/>
  <c r="R35" i="23"/>
  <c r="K35" i="23"/>
  <c r="C35" i="23"/>
  <c r="CT34" i="23"/>
  <c r="CM34" i="23"/>
  <c r="CL34" i="23"/>
  <c r="CD34" i="23"/>
  <c r="BV34" i="23"/>
  <c r="BO34" i="23"/>
  <c r="BG34" i="23"/>
  <c r="AX34" i="23"/>
  <c r="AP34" i="23"/>
  <c r="AH34" i="23"/>
  <c r="AA34" i="23"/>
  <c r="Z34" i="23"/>
  <c r="S34" i="23"/>
  <c r="R34" i="23"/>
  <c r="K34" i="23"/>
  <c r="C34" i="23"/>
  <c r="CT30" i="23"/>
  <c r="CL30" i="23"/>
  <c r="CD30" i="23"/>
  <c r="BV30" i="23"/>
  <c r="BO30" i="23"/>
  <c r="BG30" i="23"/>
  <c r="AX30" i="23"/>
  <c r="AP30" i="23"/>
  <c r="AH30" i="23"/>
  <c r="Z30" i="23"/>
  <c r="R30" i="23"/>
  <c r="K30" i="23"/>
  <c r="C30" i="23"/>
  <c r="CT29" i="23"/>
  <c r="CL29" i="23"/>
  <c r="CD29" i="23"/>
  <c r="BV29" i="23"/>
  <c r="BP29" i="23"/>
  <c r="BO29" i="23"/>
  <c r="BG29" i="23"/>
  <c r="AX29" i="23"/>
  <c r="AQ29" i="23"/>
  <c r="AP29" i="23"/>
  <c r="AH29" i="23"/>
  <c r="Z29" i="23"/>
  <c r="R29" i="23"/>
  <c r="K29" i="23"/>
  <c r="C29" i="23"/>
  <c r="CT28" i="23"/>
  <c r="CL28" i="23"/>
  <c r="CE28" i="23"/>
  <c r="CD28" i="23"/>
  <c r="BW28" i="23"/>
  <c r="BV28" i="23"/>
  <c r="BO28" i="23"/>
  <c r="BG28" i="23"/>
  <c r="AX28" i="23"/>
  <c r="AP28" i="23"/>
  <c r="AH28" i="23"/>
  <c r="Z28" i="23"/>
  <c r="R28" i="23"/>
  <c r="K28" i="23"/>
  <c r="D28" i="23"/>
  <c r="C28" i="23"/>
  <c r="CT27" i="23"/>
  <c r="CM27" i="23"/>
  <c r="CL27" i="23"/>
  <c r="CD27" i="23"/>
  <c r="BV27" i="23"/>
  <c r="BO27" i="23"/>
  <c r="BG27" i="23"/>
  <c r="AX27" i="23"/>
  <c r="AP27" i="23"/>
  <c r="AH27" i="23"/>
  <c r="Z27" i="23"/>
  <c r="R27" i="23"/>
  <c r="K27" i="23"/>
  <c r="C27" i="23"/>
  <c r="CU23" i="23"/>
  <c r="CT23" i="23"/>
  <c r="CL23" i="23"/>
  <c r="CD23" i="23"/>
  <c r="BV23" i="23"/>
  <c r="BO23" i="23"/>
  <c r="BG23" i="23"/>
  <c r="AX23" i="23"/>
  <c r="AP23" i="23"/>
  <c r="AI23" i="23"/>
  <c r="AH23" i="23"/>
  <c r="AA23" i="23"/>
  <c r="Z23" i="23"/>
  <c r="R23" i="23"/>
  <c r="K23" i="23"/>
  <c r="C23" i="23"/>
  <c r="CT22" i="23"/>
  <c r="CL22" i="23"/>
  <c r="CD22" i="23"/>
  <c r="BV22" i="23"/>
  <c r="BO22" i="23"/>
  <c r="BG22" i="23"/>
  <c r="AX22" i="23"/>
  <c r="AP22" i="23"/>
  <c r="AH22" i="23"/>
  <c r="Z22" i="23"/>
  <c r="R22" i="23"/>
  <c r="K22" i="23"/>
  <c r="C22" i="23"/>
  <c r="CT21" i="23"/>
  <c r="CL21" i="23"/>
  <c r="CD21" i="23"/>
  <c r="BW21" i="23"/>
  <c r="BV21" i="23"/>
  <c r="BO21" i="23"/>
  <c r="BG21" i="23"/>
  <c r="AY21" i="23"/>
  <c r="AX21" i="23"/>
  <c r="AP21" i="23"/>
  <c r="AH21" i="23"/>
  <c r="Z21" i="23"/>
  <c r="R21" i="23"/>
  <c r="K21" i="23"/>
  <c r="C21" i="23"/>
  <c r="CT20" i="23"/>
  <c r="CM20" i="23"/>
  <c r="CL20" i="23"/>
  <c r="CE20" i="23"/>
  <c r="CD20" i="23"/>
  <c r="BV20" i="23"/>
  <c r="BO20" i="23"/>
  <c r="BG20" i="23"/>
  <c r="AX20" i="23"/>
  <c r="AP20" i="23"/>
  <c r="AH20" i="23"/>
  <c r="Z20" i="23"/>
  <c r="R20" i="23"/>
  <c r="L20" i="23"/>
  <c r="K20" i="23"/>
  <c r="C20" i="23"/>
  <c r="CU19" i="23"/>
  <c r="CT19" i="23"/>
  <c r="CL19" i="23"/>
  <c r="CD19" i="23"/>
  <c r="BV19" i="23"/>
  <c r="BO19" i="23"/>
  <c r="BG19" i="23"/>
  <c r="AX19" i="23"/>
  <c r="AP19" i="23"/>
  <c r="AH19" i="23"/>
  <c r="Z19" i="23"/>
  <c r="R19" i="23"/>
  <c r="K19" i="23"/>
  <c r="D19" i="23"/>
  <c r="C19" i="23"/>
  <c r="CT18" i="23"/>
  <c r="CL18" i="23"/>
  <c r="CD18" i="23"/>
  <c r="BV18" i="23"/>
  <c r="BO18" i="23"/>
  <c r="BG18" i="23"/>
  <c r="AX18" i="23"/>
  <c r="AQ18" i="23"/>
  <c r="AP18" i="23"/>
  <c r="AI18" i="23"/>
  <c r="AH18" i="23"/>
  <c r="Z18" i="23"/>
  <c r="R18" i="23"/>
  <c r="K18" i="23"/>
  <c r="C18" i="23"/>
  <c r="CT14" i="23"/>
  <c r="CL14" i="23"/>
  <c r="CD14" i="23"/>
  <c r="BV14" i="23"/>
  <c r="BO14" i="23"/>
  <c r="BG14" i="23"/>
  <c r="AX14" i="23"/>
  <c r="AP14" i="23"/>
  <c r="AH14" i="23"/>
  <c r="Z14" i="23"/>
  <c r="R14" i="23"/>
  <c r="K14" i="23"/>
  <c r="C14" i="23"/>
  <c r="CT13" i="23"/>
  <c r="CL13" i="23"/>
  <c r="CE13" i="23"/>
  <c r="CD13" i="23"/>
  <c r="BV13" i="23"/>
  <c r="BO13" i="23"/>
  <c r="BH13" i="23"/>
  <c r="BG13" i="23"/>
  <c r="AX13" i="23"/>
  <c r="AP13" i="23"/>
  <c r="AH13" i="23"/>
  <c r="Z13" i="23"/>
  <c r="R13" i="23"/>
  <c r="K13" i="23"/>
  <c r="C13" i="23"/>
  <c r="CU12" i="23"/>
  <c r="CT12" i="23"/>
  <c r="CM12" i="23"/>
  <c r="CL12" i="23"/>
  <c r="CD12" i="23"/>
  <c r="BV12" i="23"/>
  <c r="BO12" i="23"/>
  <c r="BG12" i="23"/>
  <c r="AX12" i="23"/>
  <c r="AP12" i="23"/>
  <c r="AH12" i="23"/>
  <c r="Z12" i="23"/>
  <c r="S12" i="23"/>
  <c r="R12" i="23"/>
  <c r="K12" i="23"/>
  <c r="D12" i="23"/>
  <c r="C12" i="23"/>
  <c r="CT11" i="23"/>
  <c r="CL11" i="23"/>
  <c r="CD11" i="23"/>
  <c r="BV11" i="23"/>
  <c r="BO11" i="23"/>
  <c r="BG11" i="23"/>
  <c r="AX11" i="23"/>
  <c r="AP11" i="23"/>
  <c r="AH11" i="23"/>
  <c r="Z11" i="23"/>
  <c r="R11" i="23"/>
  <c r="L11" i="23"/>
  <c r="K11" i="23"/>
  <c r="C11" i="23"/>
  <c r="CT10" i="23"/>
  <c r="CL10" i="23"/>
  <c r="CD10" i="23"/>
  <c r="BV10" i="23"/>
  <c r="BO10" i="23"/>
  <c r="BG10" i="23"/>
  <c r="AY10" i="23"/>
  <c r="AX10" i="23"/>
  <c r="AQ10" i="23"/>
  <c r="AP10" i="23"/>
  <c r="AH10" i="23"/>
  <c r="Z10" i="23"/>
  <c r="R10" i="23"/>
  <c r="K10" i="23"/>
  <c r="C10" i="23"/>
  <c r="CT9" i="23"/>
  <c r="CL9" i="23"/>
  <c r="CD9" i="23"/>
  <c r="BV9" i="23"/>
  <c r="BO9" i="23"/>
  <c r="BG9" i="23"/>
  <c r="AX9" i="23"/>
  <c r="AP9" i="23"/>
  <c r="AH9" i="23"/>
  <c r="Z9" i="23"/>
  <c r="R9" i="23"/>
  <c r="K9" i="23"/>
  <c r="C9" i="23"/>
  <c r="CT8" i="23"/>
  <c r="CM8" i="23"/>
  <c r="CL8" i="23"/>
  <c r="CD8" i="23"/>
  <c r="BV8" i="23"/>
  <c r="BP8" i="23"/>
  <c r="BO8" i="23"/>
  <c r="BG8" i="23"/>
  <c r="AX8" i="23"/>
  <c r="AP8" i="23"/>
  <c r="AH8" i="23"/>
  <c r="Z8" i="23"/>
  <c r="R8" i="23"/>
  <c r="K8" i="23"/>
  <c r="D8" i="23"/>
  <c r="C8" i="23"/>
  <c r="CU7" i="23"/>
  <c r="CT7" i="23"/>
  <c r="CL7" i="23"/>
  <c r="CD7" i="23"/>
  <c r="BV7" i="23"/>
  <c r="BO7" i="23"/>
  <c r="BG7" i="23"/>
  <c r="AX7" i="23"/>
  <c r="AQ7" i="23"/>
  <c r="AP7" i="23"/>
  <c r="AI7" i="23"/>
  <c r="AH7" i="23"/>
  <c r="Z7" i="23"/>
  <c r="R7" i="23"/>
  <c r="K7" i="23"/>
  <c r="C7" i="23"/>
  <c r="CT6" i="23"/>
  <c r="CL6" i="23"/>
  <c r="CE6" i="23"/>
  <c r="CD6" i="23"/>
  <c r="BW6" i="23"/>
  <c r="BV6" i="23"/>
  <c r="BO6" i="23"/>
  <c r="BG6" i="23"/>
  <c r="AX6" i="23"/>
  <c r="AP6" i="23"/>
  <c r="AH6" i="23"/>
  <c r="Z6" i="23"/>
  <c r="S6" i="23"/>
  <c r="R6" i="23"/>
  <c r="L6" i="23"/>
  <c r="K6" i="23"/>
  <c r="C6" i="23"/>
  <c r="CT5" i="23"/>
  <c r="CL5" i="23"/>
  <c r="CD5" i="23"/>
  <c r="BV5" i="23"/>
  <c r="BO5" i="23"/>
  <c r="BH5" i="23"/>
  <c r="BG5" i="23"/>
  <c r="AY5" i="23"/>
  <c r="AX5" i="23"/>
  <c r="AP5" i="23"/>
  <c r="AH5" i="23"/>
  <c r="Z5" i="23"/>
  <c r="R5" i="23"/>
  <c r="K5" i="23"/>
  <c r="C5" i="23"/>
  <c r="CU4" i="23"/>
  <c r="CT4" i="23"/>
  <c r="CM4" i="23"/>
  <c r="CL4" i="23"/>
  <c r="CE4" i="23"/>
  <c r="CD4" i="23"/>
  <c r="BV4" i="23"/>
  <c r="BO4" i="23"/>
  <c r="BG4" i="23"/>
  <c r="AX4" i="23"/>
  <c r="AQ4" i="23"/>
  <c r="AP4" i="23"/>
  <c r="AH4" i="23"/>
  <c r="Z4" i="23"/>
  <c r="R4" i="23"/>
  <c r="K4" i="23"/>
  <c r="C4" i="23"/>
  <c r="AH4" i="1"/>
  <c r="Z4" i="1"/>
  <c r="AN34" i="21"/>
  <c r="CU48" i="23" s="1"/>
  <c r="AM34" i="21"/>
  <c r="CM48" i="23" s="1"/>
  <c r="AL34" i="21"/>
  <c r="CE48" i="23" s="1"/>
  <c r="AK34" i="21"/>
  <c r="BW48" i="23" s="1"/>
  <c r="AJ34" i="21"/>
  <c r="BP48" i="23" s="1"/>
  <c r="AI34" i="21"/>
  <c r="BH48" i="23" s="1"/>
  <c r="AH34" i="21"/>
  <c r="AG34" i="21"/>
  <c r="AQ48" i="23" s="1"/>
  <c r="AF34" i="21"/>
  <c r="AI48" i="23" s="1"/>
  <c r="AE34" i="21"/>
  <c r="AD34" i="21"/>
  <c r="S48" i="23" s="1"/>
  <c r="AC34" i="21"/>
  <c r="L48" i="23" s="1"/>
  <c r="AB34" i="21"/>
  <c r="D48" i="23" s="1"/>
  <c r="AN33" i="21"/>
  <c r="CU47" i="23" s="1"/>
  <c r="AM33" i="21"/>
  <c r="CM47" i="23" s="1"/>
  <c r="AL33" i="21"/>
  <c r="CE47" i="23" s="1"/>
  <c r="AK33" i="21"/>
  <c r="BW47" i="23" s="1"/>
  <c r="AJ33" i="21"/>
  <c r="AI33" i="21"/>
  <c r="AH33" i="21"/>
  <c r="AY47" i="23" s="1"/>
  <c r="AG33" i="21"/>
  <c r="AQ47" i="23" s="1"/>
  <c r="AF33" i="21"/>
  <c r="AI47" i="23" s="1"/>
  <c r="AE33" i="21"/>
  <c r="AA47" i="23" s="1"/>
  <c r="AD33" i="21"/>
  <c r="S47" i="23" s="1"/>
  <c r="AC33" i="21"/>
  <c r="L47" i="23" s="1"/>
  <c r="AB33" i="21"/>
  <c r="D47" i="23" s="1"/>
  <c r="AN32" i="21"/>
  <c r="CU46" i="23" s="1"/>
  <c r="AM32" i="21"/>
  <c r="AL32" i="21"/>
  <c r="CE46" i="23" s="1"/>
  <c r="AK32" i="21"/>
  <c r="AJ32" i="21"/>
  <c r="BP46" i="23" s="1"/>
  <c r="AI32" i="21"/>
  <c r="BH46" i="23" s="1"/>
  <c r="AH32" i="21"/>
  <c r="AY46" i="23" s="1"/>
  <c r="AG32" i="21"/>
  <c r="AQ46" i="23" s="1"/>
  <c r="AF32" i="21"/>
  <c r="AI46" i="23" s="1"/>
  <c r="AE32" i="21"/>
  <c r="AA46" i="23" s="1"/>
  <c r="AD32" i="21"/>
  <c r="S46" i="23" s="1"/>
  <c r="AC32" i="21"/>
  <c r="L46" i="23" s="1"/>
  <c r="AB32" i="21"/>
  <c r="D46" i="23" s="1"/>
  <c r="AN31" i="21"/>
  <c r="CU42" i="23" s="1"/>
  <c r="AM31" i="21"/>
  <c r="CM42" i="23" s="1"/>
  <c r="AL31" i="21"/>
  <c r="AK31" i="21"/>
  <c r="BW42" i="23" s="1"/>
  <c r="AJ31" i="21"/>
  <c r="BP42" i="23" s="1"/>
  <c r="AI31" i="21"/>
  <c r="BH42" i="23" s="1"/>
  <c r="AH31" i="21"/>
  <c r="AY42" i="23" s="1"/>
  <c r="AG31" i="21"/>
  <c r="AQ42" i="23" s="1"/>
  <c r="AF31" i="21"/>
  <c r="AI42" i="23" s="1"/>
  <c r="AE31" i="21"/>
  <c r="AA42" i="23" s="1"/>
  <c r="AD31" i="21"/>
  <c r="AC31" i="21"/>
  <c r="AB31" i="21"/>
  <c r="D42" i="23" s="1"/>
  <c r="AN30" i="21"/>
  <c r="CU41" i="23" s="1"/>
  <c r="AM30" i="21"/>
  <c r="CM41" i="23" s="1"/>
  <c r="AL30" i="21"/>
  <c r="CE41" i="23" s="1"/>
  <c r="AK30" i="21"/>
  <c r="BW41" i="23" s="1"/>
  <c r="AJ30" i="21"/>
  <c r="BP41" i="23" s="1"/>
  <c r="AI30" i="21"/>
  <c r="BH41" i="23" s="1"/>
  <c r="AH30" i="21"/>
  <c r="AY41" i="23" s="1"/>
  <c r="AG30" i="21"/>
  <c r="AF30" i="21"/>
  <c r="AI41" i="23" s="1"/>
  <c r="AE30" i="21"/>
  <c r="AA41" i="23" s="1"/>
  <c r="AD30" i="21"/>
  <c r="S41" i="23" s="1"/>
  <c r="AC30" i="21"/>
  <c r="L41" i="23" s="1"/>
  <c r="AB30" i="21"/>
  <c r="D41" i="23" s="1"/>
  <c r="AN29" i="21"/>
  <c r="CU40" i="23" s="1"/>
  <c r="AM29" i="21"/>
  <c r="CM40" i="23" s="1"/>
  <c r="AL29" i="21"/>
  <c r="CE40" i="23" s="1"/>
  <c r="AK29" i="21"/>
  <c r="BW40" i="23" s="1"/>
  <c r="AJ29" i="21"/>
  <c r="BP40" i="23" s="1"/>
  <c r="AI29" i="21"/>
  <c r="AH29" i="21"/>
  <c r="AY40" i="23" s="1"/>
  <c r="AG29" i="21"/>
  <c r="AQ40" i="23" s="1"/>
  <c r="AF29" i="21"/>
  <c r="AE29" i="21"/>
  <c r="AA40" i="23" s="1"/>
  <c r="AD29" i="21"/>
  <c r="S40" i="23" s="1"/>
  <c r="AC29" i="21"/>
  <c r="L40" i="23" s="1"/>
  <c r="AB29" i="21"/>
  <c r="D40" i="23" s="1"/>
  <c r="AN28" i="21"/>
  <c r="CU39" i="23" s="1"/>
  <c r="AM28" i="21"/>
  <c r="CM39" i="23" s="1"/>
  <c r="AL28" i="21"/>
  <c r="CE39" i="23" s="1"/>
  <c r="AK28" i="21"/>
  <c r="AJ28" i="21"/>
  <c r="AI28" i="21"/>
  <c r="BH39" i="23" s="1"/>
  <c r="AH28" i="21"/>
  <c r="AY39" i="23" s="1"/>
  <c r="AG28" i="21"/>
  <c r="AQ39" i="23" s="1"/>
  <c r="AF28" i="21"/>
  <c r="AI39" i="23" s="1"/>
  <c r="AE28" i="21"/>
  <c r="AA39" i="23" s="1"/>
  <c r="AD28" i="21"/>
  <c r="S39" i="23" s="1"/>
  <c r="AC28" i="21"/>
  <c r="L39" i="23" s="1"/>
  <c r="AB28" i="21"/>
  <c r="D39" i="23" s="1"/>
  <c r="AN27" i="21"/>
  <c r="AM27" i="21"/>
  <c r="CM35" i="23" s="1"/>
  <c r="AL27" i="21"/>
  <c r="AK27" i="21"/>
  <c r="BW35" i="23" s="1"/>
  <c r="AJ27" i="21"/>
  <c r="BP35" i="23" s="1"/>
  <c r="AI27" i="21"/>
  <c r="BH35" i="23" s="1"/>
  <c r="AH27" i="21"/>
  <c r="AY35" i="23" s="1"/>
  <c r="AG27" i="21"/>
  <c r="AQ35" i="23" s="1"/>
  <c r="AF27" i="21"/>
  <c r="AI35" i="23" s="1"/>
  <c r="AE27" i="21"/>
  <c r="AA35" i="23" s="1"/>
  <c r="AD27" i="21"/>
  <c r="S35" i="23" s="1"/>
  <c r="AC27" i="21"/>
  <c r="L35" i="23" s="1"/>
  <c r="AB27" i="21"/>
  <c r="D35" i="23" s="1"/>
  <c r="AN26" i="21"/>
  <c r="CU34" i="23" s="1"/>
  <c r="AM26" i="21"/>
  <c r="AL26" i="21"/>
  <c r="CE34" i="23" s="1"/>
  <c r="AK26" i="21"/>
  <c r="BW34" i="23" s="1"/>
  <c r="AJ26" i="21"/>
  <c r="BP34" i="23" s="1"/>
  <c r="AI26" i="21"/>
  <c r="BH34" i="23" s="1"/>
  <c r="AH26" i="21"/>
  <c r="AY34" i="23" s="1"/>
  <c r="AG26" i="21"/>
  <c r="AQ34" i="23" s="1"/>
  <c r="AF26" i="21"/>
  <c r="AI34" i="23" s="1"/>
  <c r="AE26" i="21"/>
  <c r="AD26" i="21"/>
  <c r="AC26" i="21"/>
  <c r="L34" i="23" s="1"/>
  <c r="AB26" i="21"/>
  <c r="D34" i="23" s="1"/>
  <c r="AN25" i="21"/>
  <c r="CU30" i="23" s="1"/>
  <c r="AM25" i="21"/>
  <c r="CM30" i="23" s="1"/>
  <c r="AL25" i="21"/>
  <c r="CE30" i="23" s="1"/>
  <c r="AK25" i="21"/>
  <c r="BW30" i="23" s="1"/>
  <c r="AJ25" i="21"/>
  <c r="BP30" i="23" s="1"/>
  <c r="AI25" i="21"/>
  <c r="BH30" i="23" s="1"/>
  <c r="AH25" i="21"/>
  <c r="AY30" i="23" s="1"/>
  <c r="AG25" i="21"/>
  <c r="AQ30" i="23" s="1"/>
  <c r="AF25" i="21"/>
  <c r="AI30" i="23" s="1"/>
  <c r="AE25" i="21"/>
  <c r="AA30" i="23" s="1"/>
  <c r="AD25" i="21"/>
  <c r="S30" i="23" s="1"/>
  <c r="AC25" i="21"/>
  <c r="L30" i="23" s="1"/>
  <c r="AB25" i="21"/>
  <c r="D30" i="23" s="1"/>
  <c r="AN24" i="21"/>
  <c r="CU29" i="23" s="1"/>
  <c r="AM24" i="21"/>
  <c r="CM29" i="23" s="1"/>
  <c r="AL24" i="21"/>
  <c r="CE29" i="23" s="1"/>
  <c r="AK24" i="21"/>
  <c r="BW29" i="23" s="1"/>
  <c r="AJ24" i="21"/>
  <c r="AI24" i="21"/>
  <c r="BH29" i="23" s="1"/>
  <c r="AH24" i="21"/>
  <c r="AY29" i="23" s="1"/>
  <c r="AG24" i="21"/>
  <c r="AF24" i="21"/>
  <c r="AI29" i="23" s="1"/>
  <c r="AE24" i="21"/>
  <c r="AA29" i="23" s="1"/>
  <c r="AD24" i="21"/>
  <c r="S29" i="23" s="1"/>
  <c r="AC24" i="21"/>
  <c r="L29" i="23" s="1"/>
  <c r="AB24" i="21"/>
  <c r="D29" i="23" s="1"/>
  <c r="AN23" i="21"/>
  <c r="CU28" i="23" s="1"/>
  <c r="AM23" i="21"/>
  <c r="CM28" i="23" s="1"/>
  <c r="AL23" i="21"/>
  <c r="AK23" i="21"/>
  <c r="AJ23" i="21"/>
  <c r="BP28" i="23" s="1"/>
  <c r="AI23" i="21"/>
  <c r="BH28" i="23" s="1"/>
  <c r="AH23" i="21"/>
  <c r="AY28" i="23" s="1"/>
  <c r="AG23" i="21"/>
  <c r="AQ28" i="23" s="1"/>
  <c r="AF23" i="21"/>
  <c r="AI28" i="23" s="1"/>
  <c r="AE23" i="21"/>
  <c r="AA28" i="23" s="1"/>
  <c r="AD23" i="21"/>
  <c r="S28" i="23" s="1"/>
  <c r="AC23" i="21"/>
  <c r="L28" i="23" s="1"/>
  <c r="AB23" i="21"/>
  <c r="AN22" i="21"/>
  <c r="CU27" i="23" s="1"/>
  <c r="AM22" i="21"/>
  <c r="AL22" i="21"/>
  <c r="CE27" i="23" s="1"/>
  <c r="AK22" i="21"/>
  <c r="BW27" i="23" s="1"/>
  <c r="AJ22" i="21"/>
  <c r="BP27" i="23" s="1"/>
  <c r="AI22" i="21"/>
  <c r="BH27" i="23" s="1"/>
  <c r="AH22" i="21"/>
  <c r="AY27" i="23" s="1"/>
  <c r="AG22" i="21"/>
  <c r="AQ27" i="23" s="1"/>
  <c r="AF22" i="21"/>
  <c r="AI27" i="23" s="1"/>
  <c r="AE22" i="21"/>
  <c r="AA27" i="23" s="1"/>
  <c r="AD22" i="21"/>
  <c r="S27" i="23" s="1"/>
  <c r="AC22" i="21"/>
  <c r="L27" i="23" s="1"/>
  <c r="AB22" i="21"/>
  <c r="D27" i="23" s="1"/>
  <c r="AN21" i="21"/>
  <c r="AM21" i="21"/>
  <c r="CM23" i="23" s="1"/>
  <c r="AL21" i="21"/>
  <c r="CE23" i="23" s="1"/>
  <c r="AK21" i="21"/>
  <c r="BW23" i="23" s="1"/>
  <c r="AJ21" i="21"/>
  <c r="BP23" i="23" s="1"/>
  <c r="AI21" i="21"/>
  <c r="BH23" i="23" s="1"/>
  <c r="AH21" i="21"/>
  <c r="AY23" i="23" s="1"/>
  <c r="AG21" i="21"/>
  <c r="AQ23" i="23" s="1"/>
  <c r="AF21" i="21"/>
  <c r="AE21" i="21"/>
  <c r="AD21" i="21"/>
  <c r="S23" i="23" s="1"/>
  <c r="AC21" i="21"/>
  <c r="L23" i="23" s="1"/>
  <c r="AB21" i="21"/>
  <c r="D23" i="23" s="1"/>
  <c r="AN20" i="21"/>
  <c r="CU22" i="23" s="1"/>
  <c r="AM20" i="21"/>
  <c r="CM22" i="23" s="1"/>
  <c r="AL20" i="21"/>
  <c r="CE22" i="23" s="1"/>
  <c r="AK20" i="21"/>
  <c r="BW22" i="23" s="1"/>
  <c r="AJ20" i="21"/>
  <c r="BP22" i="23" s="1"/>
  <c r="AI20" i="21"/>
  <c r="BH22" i="23" s="1"/>
  <c r="AH20" i="21"/>
  <c r="AY22" i="23" s="1"/>
  <c r="AG20" i="21"/>
  <c r="AQ22" i="23" s="1"/>
  <c r="AF20" i="21"/>
  <c r="AI22" i="23" s="1"/>
  <c r="AE20" i="21"/>
  <c r="AA22" i="23" s="1"/>
  <c r="AD20" i="21"/>
  <c r="S22" i="23" s="1"/>
  <c r="AC20" i="21"/>
  <c r="L22" i="23" s="1"/>
  <c r="AB20" i="21"/>
  <c r="D22" i="23" s="1"/>
  <c r="AN19" i="21"/>
  <c r="CU21" i="23" s="1"/>
  <c r="AM19" i="21"/>
  <c r="CM21" i="23" s="1"/>
  <c r="AL19" i="21"/>
  <c r="CE21" i="23" s="1"/>
  <c r="AK19" i="21"/>
  <c r="AJ19" i="21"/>
  <c r="BP21" i="23" s="1"/>
  <c r="AI19" i="21"/>
  <c r="BH21" i="23" s="1"/>
  <c r="AH19" i="21"/>
  <c r="AG19" i="21"/>
  <c r="AQ21" i="23" s="1"/>
  <c r="AF19" i="21"/>
  <c r="AI21" i="23" s="1"/>
  <c r="AE19" i="21"/>
  <c r="AA21" i="23" s="1"/>
  <c r="AD19" i="21"/>
  <c r="S21" i="23" s="1"/>
  <c r="AC19" i="21"/>
  <c r="L21" i="23" s="1"/>
  <c r="AB19" i="21"/>
  <c r="D21" i="23" s="1"/>
  <c r="AN18" i="21"/>
  <c r="CU20" i="23" s="1"/>
  <c r="AM18" i="21"/>
  <c r="AL18" i="21"/>
  <c r="AK18" i="21"/>
  <c r="BW20" i="23" s="1"/>
  <c r="AJ18" i="21"/>
  <c r="BP20" i="23" s="1"/>
  <c r="AI18" i="21"/>
  <c r="BH20" i="23" s="1"/>
  <c r="AH18" i="21"/>
  <c r="AY20" i="23" s="1"/>
  <c r="AG18" i="21"/>
  <c r="AQ20" i="23" s="1"/>
  <c r="AF18" i="21"/>
  <c r="AI20" i="23" s="1"/>
  <c r="AE18" i="21"/>
  <c r="AA20" i="23" s="1"/>
  <c r="AD18" i="21"/>
  <c r="S20" i="23" s="1"/>
  <c r="AC18" i="21"/>
  <c r="AB18" i="21"/>
  <c r="D20" i="23" s="1"/>
  <c r="AN17" i="21"/>
  <c r="AM17" i="21"/>
  <c r="CM19" i="23" s="1"/>
  <c r="AL17" i="21"/>
  <c r="CE19" i="23" s="1"/>
  <c r="AK17" i="21"/>
  <c r="BW19" i="23" s="1"/>
  <c r="AJ17" i="21"/>
  <c r="BP19" i="23" s="1"/>
  <c r="AI17" i="21"/>
  <c r="BH19" i="23" s="1"/>
  <c r="AH17" i="21"/>
  <c r="AY19" i="23" s="1"/>
  <c r="AG17" i="21"/>
  <c r="AQ19" i="23" s="1"/>
  <c r="AF17" i="21"/>
  <c r="AI19" i="23" s="1"/>
  <c r="AE17" i="21"/>
  <c r="AA19" i="23" s="1"/>
  <c r="AD17" i="21"/>
  <c r="S19" i="23" s="1"/>
  <c r="AC17" i="21"/>
  <c r="L19" i="23" s="1"/>
  <c r="AB17" i="21"/>
  <c r="AN16" i="21"/>
  <c r="CU18" i="23" s="1"/>
  <c r="AM16" i="21"/>
  <c r="CM18" i="23" s="1"/>
  <c r="AL16" i="21"/>
  <c r="CE18" i="23" s="1"/>
  <c r="AK16" i="21"/>
  <c r="BW18" i="23" s="1"/>
  <c r="AJ16" i="21"/>
  <c r="BP18" i="23" s="1"/>
  <c r="AI16" i="21"/>
  <c r="BH18" i="23" s="1"/>
  <c r="AH16" i="21"/>
  <c r="AY18" i="23" s="1"/>
  <c r="AG16" i="21"/>
  <c r="AF16" i="21"/>
  <c r="AE16" i="21"/>
  <c r="AA18" i="23" s="1"/>
  <c r="AD16" i="21"/>
  <c r="S18" i="23" s="1"/>
  <c r="AC16" i="21"/>
  <c r="L18" i="23" s="1"/>
  <c r="AB16" i="21"/>
  <c r="D18" i="23" s="1"/>
  <c r="AN15" i="21"/>
  <c r="CU14" i="23" s="1"/>
  <c r="AM15" i="21"/>
  <c r="CM14" i="23" s="1"/>
  <c r="AL15" i="21"/>
  <c r="CE14" i="23" s="1"/>
  <c r="AK15" i="21"/>
  <c r="BW14" i="23" s="1"/>
  <c r="AJ15" i="21"/>
  <c r="BP14" i="23" s="1"/>
  <c r="AI15" i="21"/>
  <c r="BH14" i="23" s="1"/>
  <c r="AH15" i="21"/>
  <c r="AY14" i="23" s="1"/>
  <c r="AG15" i="21"/>
  <c r="AQ14" i="23" s="1"/>
  <c r="AF15" i="21"/>
  <c r="AI14" i="23" s="1"/>
  <c r="AE15" i="21"/>
  <c r="AA14" i="23" s="1"/>
  <c r="AD15" i="21"/>
  <c r="S14" i="23" s="1"/>
  <c r="AC15" i="21"/>
  <c r="L14" i="23" s="1"/>
  <c r="AB15" i="21"/>
  <c r="D14" i="23" s="1"/>
  <c r="AN14" i="21"/>
  <c r="CU13" i="23" s="1"/>
  <c r="AM14" i="21"/>
  <c r="CM13" i="23" s="1"/>
  <c r="AL14" i="21"/>
  <c r="AK14" i="21"/>
  <c r="BW13" i="23" s="1"/>
  <c r="AJ14" i="21"/>
  <c r="BP13" i="23" s="1"/>
  <c r="AI14" i="21"/>
  <c r="AH14" i="21"/>
  <c r="AY13" i="23" s="1"/>
  <c r="AG14" i="21"/>
  <c r="AQ13" i="23" s="1"/>
  <c r="AF14" i="21"/>
  <c r="AI13" i="23" s="1"/>
  <c r="AE14" i="21"/>
  <c r="AA13" i="23" s="1"/>
  <c r="AD14" i="21"/>
  <c r="S13" i="23" s="1"/>
  <c r="AC14" i="21"/>
  <c r="L13" i="23" s="1"/>
  <c r="AB14" i="21"/>
  <c r="D13" i="23" s="1"/>
  <c r="AN13" i="21"/>
  <c r="AM13" i="21"/>
  <c r="AL13" i="21"/>
  <c r="CE12" i="23" s="1"/>
  <c r="AK13" i="21"/>
  <c r="BW12" i="23" s="1"/>
  <c r="AJ13" i="21"/>
  <c r="BP12" i="23" s="1"/>
  <c r="AI13" i="21"/>
  <c r="BH12" i="23" s="1"/>
  <c r="AH13" i="21"/>
  <c r="AY12" i="23" s="1"/>
  <c r="AG13" i="21"/>
  <c r="AQ12" i="23" s="1"/>
  <c r="AF13" i="21"/>
  <c r="AI12" i="23" s="1"/>
  <c r="AE13" i="21"/>
  <c r="AA12" i="23" s="1"/>
  <c r="AD13" i="21"/>
  <c r="AC13" i="21"/>
  <c r="L12" i="23" s="1"/>
  <c r="AB13" i="21"/>
  <c r="AN12" i="21"/>
  <c r="CU11" i="23" s="1"/>
  <c r="AM12" i="21"/>
  <c r="CM11" i="23" s="1"/>
  <c r="AL12" i="21"/>
  <c r="CE11" i="23" s="1"/>
  <c r="AK12" i="21"/>
  <c r="BW11" i="23" s="1"/>
  <c r="AJ12" i="21"/>
  <c r="BP11" i="23" s="1"/>
  <c r="AI12" i="21"/>
  <c r="BH11" i="23" s="1"/>
  <c r="AH12" i="21"/>
  <c r="AY11" i="23" s="1"/>
  <c r="AG12" i="21"/>
  <c r="AQ11" i="23" s="1"/>
  <c r="AF12" i="21"/>
  <c r="AI11" i="23" s="1"/>
  <c r="AE12" i="21"/>
  <c r="AA11" i="23" s="1"/>
  <c r="AD12" i="21"/>
  <c r="S11" i="23" s="1"/>
  <c r="AC12" i="21"/>
  <c r="AB12" i="21"/>
  <c r="D11" i="23" s="1"/>
  <c r="AN11" i="21"/>
  <c r="CU10" i="23" s="1"/>
  <c r="AM11" i="21"/>
  <c r="CM10" i="23" s="1"/>
  <c r="AL11" i="21"/>
  <c r="CE10" i="23" s="1"/>
  <c r="AK11" i="21"/>
  <c r="BW10" i="23" s="1"/>
  <c r="AJ11" i="21"/>
  <c r="BP10" i="23" s="1"/>
  <c r="AI11" i="21"/>
  <c r="BH10" i="23" s="1"/>
  <c r="AH11" i="21"/>
  <c r="AG11" i="21"/>
  <c r="AF11" i="21"/>
  <c r="AI10" i="23" s="1"/>
  <c r="AE11" i="21"/>
  <c r="AA10" i="23" s="1"/>
  <c r="AD11" i="21"/>
  <c r="S10" i="23" s="1"/>
  <c r="AC11" i="21"/>
  <c r="L10" i="23" s="1"/>
  <c r="AB11" i="21"/>
  <c r="D10" i="23" s="1"/>
  <c r="AN10" i="21"/>
  <c r="CU9" i="23" s="1"/>
  <c r="AM10" i="21"/>
  <c r="CM9" i="23" s="1"/>
  <c r="AL10" i="21"/>
  <c r="CE9" i="23" s="1"/>
  <c r="AK10" i="21"/>
  <c r="BW9" i="23" s="1"/>
  <c r="AJ10" i="21"/>
  <c r="BP9" i="23" s="1"/>
  <c r="AI10" i="21"/>
  <c r="BH9" i="23" s="1"/>
  <c r="AH10" i="21"/>
  <c r="AY9" i="23" s="1"/>
  <c r="AG10" i="21"/>
  <c r="AQ9" i="23" s="1"/>
  <c r="AF10" i="21"/>
  <c r="AI9" i="23" s="1"/>
  <c r="AE10" i="21"/>
  <c r="AA9" i="23" s="1"/>
  <c r="AD10" i="21"/>
  <c r="S9" i="23" s="1"/>
  <c r="AC10" i="21"/>
  <c r="L9" i="23" s="1"/>
  <c r="AB10" i="21"/>
  <c r="D9" i="23" s="1"/>
  <c r="AN9" i="21"/>
  <c r="CU8" i="23" s="1"/>
  <c r="AM9" i="21"/>
  <c r="AL9" i="21"/>
  <c r="CE8" i="23" s="1"/>
  <c r="AK9" i="21"/>
  <c r="BW8" i="23" s="1"/>
  <c r="AJ9" i="21"/>
  <c r="AI9" i="21"/>
  <c r="BH8" i="23" s="1"/>
  <c r="AH9" i="21"/>
  <c r="AY8" i="23" s="1"/>
  <c r="AG9" i="21"/>
  <c r="AQ8" i="23" s="1"/>
  <c r="AF9" i="21"/>
  <c r="AI8" i="23" s="1"/>
  <c r="AE9" i="21"/>
  <c r="AA8" i="23" s="1"/>
  <c r="AD9" i="21"/>
  <c r="S8" i="23" s="1"/>
  <c r="AC9" i="21"/>
  <c r="L8" i="23" s="1"/>
  <c r="AB9" i="21"/>
  <c r="AN8" i="21"/>
  <c r="AM8" i="21"/>
  <c r="CM7" i="23" s="1"/>
  <c r="AL8" i="21"/>
  <c r="CE7" i="23" s="1"/>
  <c r="AK8" i="21"/>
  <c r="BW7" i="23" s="1"/>
  <c r="AJ8" i="21"/>
  <c r="BP7" i="23" s="1"/>
  <c r="AI8" i="21"/>
  <c r="BH7" i="23" s="1"/>
  <c r="AH8" i="21"/>
  <c r="AY7" i="23" s="1"/>
  <c r="AG8" i="21"/>
  <c r="AF8" i="21"/>
  <c r="AE8" i="21"/>
  <c r="AA7" i="23" s="1"/>
  <c r="AD8" i="21"/>
  <c r="S7" i="23" s="1"/>
  <c r="AC8" i="21"/>
  <c r="L7" i="23" s="1"/>
  <c r="AB8" i="21"/>
  <c r="D7" i="23" s="1"/>
  <c r="AN7" i="21"/>
  <c r="CU6" i="23" s="1"/>
  <c r="AM7" i="21"/>
  <c r="CM6" i="23" s="1"/>
  <c r="AL7" i="21"/>
  <c r="AK7" i="21"/>
  <c r="AJ7" i="21"/>
  <c r="BP6" i="23" s="1"/>
  <c r="AI7" i="21"/>
  <c r="BH6" i="23" s="1"/>
  <c r="AH7" i="21"/>
  <c r="AY6" i="23" s="1"/>
  <c r="AG7" i="21"/>
  <c r="AQ6" i="23" s="1"/>
  <c r="AF7" i="21"/>
  <c r="AI6" i="23" s="1"/>
  <c r="AE7" i="21"/>
  <c r="AA6" i="23" s="1"/>
  <c r="AD7" i="21"/>
  <c r="AC7" i="21"/>
  <c r="AB7" i="21"/>
  <c r="D6" i="23" s="1"/>
  <c r="AN6" i="21"/>
  <c r="CU5" i="23" s="1"/>
  <c r="AM6" i="21"/>
  <c r="CM5" i="23" s="1"/>
  <c r="AL6" i="21"/>
  <c r="CE5" i="23" s="1"/>
  <c r="AK6" i="21"/>
  <c r="BW5" i="23" s="1"/>
  <c r="AJ6" i="21"/>
  <c r="BP5" i="23" s="1"/>
  <c r="AI6" i="21"/>
  <c r="AH6" i="21"/>
  <c r="AG6" i="21"/>
  <c r="AQ5" i="23" s="1"/>
  <c r="AF6" i="21"/>
  <c r="AI5" i="23" s="1"/>
  <c r="AE6" i="21"/>
  <c r="AA5" i="23" s="1"/>
  <c r="AD6" i="21"/>
  <c r="S5" i="23" s="1"/>
  <c r="AC6" i="21"/>
  <c r="L5" i="23" s="1"/>
  <c r="AB6" i="21"/>
  <c r="D5" i="23" s="1"/>
  <c r="AN5" i="21"/>
  <c r="AM5" i="21"/>
  <c r="AL5" i="21"/>
  <c r="AK5" i="21"/>
  <c r="BW4" i="23" s="1"/>
  <c r="AJ5" i="21"/>
  <c r="BP4" i="23" s="1"/>
  <c r="AI5" i="21"/>
  <c r="BH4" i="23" s="1"/>
  <c r="AH5" i="21"/>
  <c r="AY4" i="23" s="1"/>
  <c r="AG5" i="21"/>
  <c r="AF5" i="21"/>
  <c r="AI4" i="23" s="1"/>
  <c r="AE5" i="21"/>
  <c r="AA4" i="23" s="1"/>
  <c r="AD5" i="21"/>
  <c r="S4" i="23" s="1"/>
  <c r="AC5" i="21"/>
  <c r="L4" i="23" s="1"/>
  <c r="AB5" i="21"/>
  <c r="D4" i="23" s="1"/>
  <c r="AE5" i="2"/>
  <c r="AA4" i="1" s="1"/>
  <c r="AL10" i="2"/>
  <c r="CE9" i="1" s="1"/>
  <c r="AI6" i="2"/>
  <c r="BH5" i="1" s="1"/>
  <c r="CT47" i="1"/>
  <c r="CT48" i="1"/>
  <c r="CT46" i="1"/>
  <c r="CT40" i="1"/>
  <c r="CT41" i="1"/>
  <c r="CT42" i="1"/>
  <c r="CT39" i="1"/>
  <c r="CT35" i="1"/>
  <c r="CT34" i="1"/>
  <c r="CT28" i="1"/>
  <c r="CT29" i="1"/>
  <c r="CT30" i="1"/>
  <c r="CT27" i="1"/>
  <c r="CT19" i="1"/>
  <c r="CT20" i="1"/>
  <c r="CT21" i="1"/>
  <c r="CT22" i="1"/>
  <c r="CT23" i="1"/>
  <c r="CT18" i="1"/>
  <c r="CT5" i="1"/>
  <c r="CT6" i="1"/>
  <c r="CT7" i="1"/>
  <c r="CT8" i="1"/>
  <c r="CT9" i="1"/>
  <c r="CT10" i="1"/>
  <c r="CT11" i="1"/>
  <c r="CT12" i="1"/>
  <c r="CT13" i="1"/>
  <c r="CT14" i="1"/>
  <c r="CT4" i="1"/>
  <c r="AM5" i="2"/>
  <c r="CM4" i="1" s="1"/>
  <c r="CL47" i="1"/>
  <c r="CL48" i="1"/>
  <c r="CL46" i="1"/>
  <c r="CL40" i="1"/>
  <c r="CL41" i="1"/>
  <c r="CL42" i="1"/>
  <c r="CL39" i="1"/>
  <c r="CL35" i="1"/>
  <c r="CL34" i="1"/>
  <c r="CL28" i="1"/>
  <c r="CL29" i="1"/>
  <c r="CL30" i="1"/>
  <c r="CL27" i="1"/>
  <c r="CL19" i="1"/>
  <c r="CL20" i="1"/>
  <c r="CL21" i="1"/>
  <c r="CL22" i="1"/>
  <c r="CL23" i="1"/>
  <c r="CL18" i="1"/>
  <c r="CL5" i="1"/>
  <c r="CL6" i="1"/>
  <c r="CL7" i="1"/>
  <c r="CL8" i="1"/>
  <c r="CL9" i="1"/>
  <c r="CL10" i="1"/>
  <c r="CL11" i="1"/>
  <c r="CL12" i="1"/>
  <c r="CL13" i="1"/>
  <c r="CL14" i="1"/>
  <c r="CL4" i="1"/>
  <c r="CD47" i="1"/>
  <c r="CD48" i="1"/>
  <c r="CD46" i="1"/>
  <c r="CD40" i="1"/>
  <c r="CD41" i="1"/>
  <c r="CD42" i="1"/>
  <c r="CD39" i="1"/>
  <c r="CD35" i="1"/>
  <c r="CD34" i="1"/>
  <c r="CD28" i="1"/>
  <c r="CD29" i="1"/>
  <c r="CD30" i="1"/>
  <c r="CD27" i="1"/>
  <c r="CD19" i="1"/>
  <c r="CD20" i="1"/>
  <c r="CD21" i="1"/>
  <c r="CD22" i="1"/>
  <c r="CD23" i="1"/>
  <c r="CD18" i="1"/>
  <c r="CD5" i="1"/>
  <c r="CD6" i="1"/>
  <c r="CD7" i="1"/>
  <c r="CD8" i="1"/>
  <c r="CD9" i="1"/>
  <c r="CD10" i="1"/>
  <c r="CD11" i="1"/>
  <c r="CD12" i="1"/>
  <c r="CD13" i="1"/>
  <c r="CD14" i="1"/>
  <c r="CD4" i="1"/>
  <c r="BV47" i="1"/>
  <c r="BV48" i="1"/>
  <c r="BV46" i="1"/>
  <c r="BV40" i="1"/>
  <c r="BV41" i="1"/>
  <c r="BV42" i="1"/>
  <c r="BV39" i="1"/>
  <c r="BV35" i="1"/>
  <c r="BV34" i="1"/>
  <c r="BV28" i="1"/>
  <c r="BV29" i="1"/>
  <c r="BV30" i="1"/>
  <c r="BV27" i="1"/>
  <c r="BV19" i="1"/>
  <c r="BV20" i="1"/>
  <c r="BV21" i="1"/>
  <c r="BV22" i="1"/>
  <c r="BV23" i="1"/>
  <c r="BV18" i="1"/>
  <c r="BV5" i="1"/>
  <c r="BV6" i="1"/>
  <c r="BV7" i="1"/>
  <c r="BV8" i="1"/>
  <c r="BV9" i="1"/>
  <c r="BV10" i="1"/>
  <c r="BV11" i="1"/>
  <c r="BV12" i="1"/>
  <c r="BV13" i="1"/>
  <c r="BV14" i="1"/>
  <c r="BV4" i="1"/>
  <c r="BO47" i="1"/>
  <c r="BO48" i="1"/>
  <c r="BO46" i="1"/>
  <c r="BO40" i="1"/>
  <c r="BO41" i="1"/>
  <c r="BO42" i="1"/>
  <c r="BO39" i="1"/>
  <c r="BO35" i="1"/>
  <c r="BO34" i="1"/>
  <c r="BO28" i="1"/>
  <c r="BO29" i="1"/>
  <c r="BO30" i="1"/>
  <c r="BO27" i="1"/>
  <c r="BO19" i="1"/>
  <c r="BO20" i="1"/>
  <c r="BO21" i="1"/>
  <c r="BO22" i="1"/>
  <c r="BO23" i="1"/>
  <c r="BO18" i="1"/>
  <c r="BO5" i="1"/>
  <c r="BO6" i="1"/>
  <c r="BO7" i="1"/>
  <c r="BO8" i="1"/>
  <c r="BO9" i="1"/>
  <c r="BO10" i="1"/>
  <c r="BO11" i="1"/>
  <c r="BO12" i="1"/>
  <c r="BO13" i="1"/>
  <c r="BO14" i="1"/>
  <c r="BO4" i="1"/>
  <c r="BG47" i="1"/>
  <c r="BG48" i="1"/>
  <c r="BG46" i="1"/>
  <c r="BG40" i="1"/>
  <c r="BG41" i="1"/>
  <c r="BG42" i="1"/>
  <c r="BG39" i="1"/>
  <c r="BG35" i="1"/>
  <c r="BG34" i="1"/>
  <c r="BG28" i="1"/>
  <c r="BG29" i="1"/>
  <c r="BG30" i="1"/>
  <c r="BG27" i="1"/>
  <c r="BG19" i="1"/>
  <c r="BG20" i="1"/>
  <c r="BG21" i="1"/>
  <c r="BG22" i="1"/>
  <c r="BG23" i="1"/>
  <c r="BG18" i="1"/>
  <c r="BG6" i="1"/>
  <c r="BG7" i="1"/>
  <c r="BG8" i="1"/>
  <c r="BG9" i="1"/>
  <c r="BG10" i="1"/>
  <c r="BG11" i="1"/>
  <c r="BG12" i="1"/>
  <c r="BG13" i="1"/>
  <c r="BG14" i="1"/>
  <c r="BG5" i="1"/>
  <c r="BG4" i="1"/>
  <c r="AL7" i="2"/>
  <c r="CE6" i="1" s="1"/>
  <c r="AL27" i="2"/>
  <c r="CE35" i="1" s="1"/>
  <c r="AJ6" i="2"/>
  <c r="BP5" i="1" s="1"/>
  <c r="AK6" i="2"/>
  <c r="BW5" i="1" s="1"/>
  <c r="AL6" i="2"/>
  <c r="CE5" i="1" s="1"/>
  <c r="AM6" i="2"/>
  <c r="CM5" i="1" s="1"/>
  <c r="AN6" i="2"/>
  <c r="CU5" i="1" s="1"/>
  <c r="AI7" i="2"/>
  <c r="BH6" i="1" s="1"/>
  <c r="AJ7" i="2"/>
  <c r="BP6" i="1" s="1"/>
  <c r="AK7" i="2"/>
  <c r="BW6" i="1" s="1"/>
  <c r="AM7" i="2"/>
  <c r="CM6" i="1" s="1"/>
  <c r="AN7" i="2"/>
  <c r="CU6" i="1" s="1"/>
  <c r="AI8" i="2"/>
  <c r="BH7" i="1" s="1"/>
  <c r="AJ8" i="2"/>
  <c r="BP7" i="1" s="1"/>
  <c r="AK8" i="2"/>
  <c r="BW7" i="1" s="1"/>
  <c r="AL8" i="2"/>
  <c r="CE7" i="1" s="1"/>
  <c r="AM8" i="2"/>
  <c r="CM7" i="1" s="1"/>
  <c r="AN8" i="2"/>
  <c r="CU7" i="1" s="1"/>
  <c r="AI9" i="2"/>
  <c r="BH8" i="1" s="1"/>
  <c r="AJ9" i="2"/>
  <c r="BP8" i="1" s="1"/>
  <c r="AK9" i="2"/>
  <c r="BW8" i="1" s="1"/>
  <c r="AL9" i="2"/>
  <c r="CE8" i="1" s="1"/>
  <c r="AM9" i="2"/>
  <c r="CM8" i="1" s="1"/>
  <c r="AN9" i="2"/>
  <c r="CU8" i="1" s="1"/>
  <c r="AI10" i="2"/>
  <c r="BH9" i="1" s="1"/>
  <c r="AJ10" i="2"/>
  <c r="BP9" i="1" s="1"/>
  <c r="AK10" i="2"/>
  <c r="BW9" i="1" s="1"/>
  <c r="AM10" i="2"/>
  <c r="CM9" i="1" s="1"/>
  <c r="AN10" i="2"/>
  <c r="CU9" i="1" s="1"/>
  <c r="AI11" i="2"/>
  <c r="BH10" i="1" s="1"/>
  <c r="AJ11" i="2"/>
  <c r="BP10" i="1" s="1"/>
  <c r="AK11" i="2"/>
  <c r="BW10" i="1" s="1"/>
  <c r="AL11" i="2"/>
  <c r="CE10" i="1" s="1"/>
  <c r="AM11" i="2"/>
  <c r="CM10" i="1" s="1"/>
  <c r="AN11" i="2"/>
  <c r="CU10" i="1" s="1"/>
  <c r="AI12" i="2"/>
  <c r="BH11" i="1" s="1"/>
  <c r="AJ12" i="2"/>
  <c r="BP11" i="1" s="1"/>
  <c r="AK12" i="2"/>
  <c r="BW11" i="1" s="1"/>
  <c r="AL12" i="2"/>
  <c r="CE11" i="1" s="1"/>
  <c r="AM12" i="2"/>
  <c r="CM11" i="1" s="1"/>
  <c r="AN12" i="2"/>
  <c r="CU11" i="1" s="1"/>
  <c r="AI13" i="2"/>
  <c r="BH12" i="1" s="1"/>
  <c r="AJ13" i="2"/>
  <c r="BP12" i="1" s="1"/>
  <c r="AK13" i="2"/>
  <c r="BW12" i="1" s="1"/>
  <c r="AL13" i="2"/>
  <c r="CE12" i="1" s="1"/>
  <c r="AM13" i="2"/>
  <c r="CM12" i="1" s="1"/>
  <c r="AN13" i="2"/>
  <c r="CU12" i="1" s="1"/>
  <c r="AI14" i="2"/>
  <c r="BH13" i="1" s="1"/>
  <c r="AJ14" i="2"/>
  <c r="BP13" i="1" s="1"/>
  <c r="AK14" i="2"/>
  <c r="BW13" i="1" s="1"/>
  <c r="AL14" i="2"/>
  <c r="CE13" i="1" s="1"/>
  <c r="AM14" i="2"/>
  <c r="CM13" i="1" s="1"/>
  <c r="AN14" i="2"/>
  <c r="CU13" i="1" s="1"/>
  <c r="AI15" i="2"/>
  <c r="BH14" i="1" s="1"/>
  <c r="AJ15" i="2"/>
  <c r="BP14" i="1" s="1"/>
  <c r="AK15" i="2"/>
  <c r="BW14" i="1" s="1"/>
  <c r="AL15" i="2"/>
  <c r="CE14" i="1" s="1"/>
  <c r="AM15" i="2"/>
  <c r="CM14" i="1" s="1"/>
  <c r="AN15" i="2"/>
  <c r="CU14" i="1" s="1"/>
  <c r="AI16" i="2"/>
  <c r="BH18" i="1" s="1"/>
  <c r="AJ16" i="2"/>
  <c r="BP18" i="1" s="1"/>
  <c r="AK16" i="2"/>
  <c r="BW18" i="1" s="1"/>
  <c r="AL16" i="2"/>
  <c r="CE18" i="1" s="1"/>
  <c r="AM16" i="2"/>
  <c r="CM18" i="1" s="1"/>
  <c r="AN16" i="2"/>
  <c r="CU18" i="1" s="1"/>
  <c r="AI17" i="2"/>
  <c r="BH19" i="1" s="1"/>
  <c r="AJ17" i="2"/>
  <c r="BP19" i="1" s="1"/>
  <c r="AK17" i="2"/>
  <c r="BW19" i="1" s="1"/>
  <c r="AL17" i="2"/>
  <c r="CE19" i="1" s="1"/>
  <c r="AM17" i="2"/>
  <c r="CM19" i="1" s="1"/>
  <c r="AN17" i="2"/>
  <c r="CU19" i="1" s="1"/>
  <c r="AI18" i="2"/>
  <c r="BH20" i="1" s="1"/>
  <c r="AJ18" i="2"/>
  <c r="BP20" i="1" s="1"/>
  <c r="AK18" i="2"/>
  <c r="BW20" i="1" s="1"/>
  <c r="AL18" i="2"/>
  <c r="CE20" i="1" s="1"/>
  <c r="AM18" i="2"/>
  <c r="CM20" i="1" s="1"/>
  <c r="AN18" i="2"/>
  <c r="CU20" i="1" s="1"/>
  <c r="AI19" i="2"/>
  <c r="BH21" i="1" s="1"/>
  <c r="AJ19" i="2"/>
  <c r="BP21" i="1" s="1"/>
  <c r="AK19" i="2"/>
  <c r="BW21" i="1" s="1"/>
  <c r="AL19" i="2"/>
  <c r="CE21" i="1" s="1"/>
  <c r="AM19" i="2"/>
  <c r="CM21" i="1" s="1"/>
  <c r="AN19" i="2"/>
  <c r="CU21" i="1" s="1"/>
  <c r="AI20" i="2"/>
  <c r="BH22" i="1" s="1"/>
  <c r="AJ20" i="2"/>
  <c r="BP22" i="1" s="1"/>
  <c r="AK20" i="2"/>
  <c r="BW22" i="1" s="1"/>
  <c r="AL20" i="2"/>
  <c r="CE22" i="1" s="1"/>
  <c r="AM20" i="2"/>
  <c r="CM22" i="1" s="1"/>
  <c r="AN20" i="2"/>
  <c r="CU22" i="1" s="1"/>
  <c r="AI21" i="2"/>
  <c r="BH23" i="1" s="1"/>
  <c r="AJ21" i="2"/>
  <c r="BP23" i="1" s="1"/>
  <c r="AK21" i="2"/>
  <c r="BW23" i="1" s="1"/>
  <c r="AL21" i="2"/>
  <c r="CE23" i="1" s="1"/>
  <c r="AM21" i="2"/>
  <c r="CM23" i="1" s="1"/>
  <c r="AN21" i="2"/>
  <c r="CU23" i="1" s="1"/>
  <c r="AI22" i="2"/>
  <c r="BH27" i="1" s="1"/>
  <c r="AJ22" i="2"/>
  <c r="BP27" i="1" s="1"/>
  <c r="AK22" i="2"/>
  <c r="BW27" i="1" s="1"/>
  <c r="AL22" i="2"/>
  <c r="CE27" i="1" s="1"/>
  <c r="AM22" i="2"/>
  <c r="CM27" i="1" s="1"/>
  <c r="AN22" i="2"/>
  <c r="CU27" i="1" s="1"/>
  <c r="AI23" i="2"/>
  <c r="BH28" i="1" s="1"/>
  <c r="AJ23" i="2"/>
  <c r="BP28" i="1" s="1"/>
  <c r="AK23" i="2"/>
  <c r="BW28" i="1" s="1"/>
  <c r="AL23" i="2"/>
  <c r="CE28" i="1" s="1"/>
  <c r="AM23" i="2"/>
  <c r="CM28" i="1" s="1"/>
  <c r="AN23" i="2"/>
  <c r="CU28" i="1" s="1"/>
  <c r="AI24" i="2"/>
  <c r="BH29" i="1" s="1"/>
  <c r="AJ24" i="2"/>
  <c r="BP29" i="1" s="1"/>
  <c r="AK24" i="2"/>
  <c r="BW29" i="1" s="1"/>
  <c r="AL24" i="2"/>
  <c r="CE29" i="1" s="1"/>
  <c r="AM24" i="2"/>
  <c r="CM29" i="1" s="1"/>
  <c r="AN24" i="2"/>
  <c r="CU29" i="1" s="1"/>
  <c r="AI25" i="2"/>
  <c r="BH30" i="1" s="1"/>
  <c r="AJ25" i="2"/>
  <c r="BP30" i="1" s="1"/>
  <c r="AK25" i="2"/>
  <c r="BW30" i="1" s="1"/>
  <c r="AL25" i="2"/>
  <c r="CE30" i="1" s="1"/>
  <c r="AM25" i="2"/>
  <c r="CM30" i="1" s="1"/>
  <c r="AN25" i="2"/>
  <c r="CU30" i="1" s="1"/>
  <c r="AI26" i="2"/>
  <c r="BH34" i="1" s="1"/>
  <c r="AJ26" i="2"/>
  <c r="BP34" i="1" s="1"/>
  <c r="AK26" i="2"/>
  <c r="BW34" i="1" s="1"/>
  <c r="AL26" i="2"/>
  <c r="CE34" i="1" s="1"/>
  <c r="AM26" i="2"/>
  <c r="CM34" i="1" s="1"/>
  <c r="AN26" i="2"/>
  <c r="CU34" i="1" s="1"/>
  <c r="AI27" i="2"/>
  <c r="BH35" i="1" s="1"/>
  <c r="AJ27" i="2"/>
  <c r="BP35" i="1" s="1"/>
  <c r="AK27" i="2"/>
  <c r="BW35" i="1" s="1"/>
  <c r="AM27" i="2"/>
  <c r="CM35" i="1" s="1"/>
  <c r="AN27" i="2"/>
  <c r="CU35" i="1" s="1"/>
  <c r="AI28" i="2"/>
  <c r="BH39" i="1" s="1"/>
  <c r="AJ28" i="2"/>
  <c r="BP39" i="1" s="1"/>
  <c r="AK28" i="2"/>
  <c r="BW39" i="1" s="1"/>
  <c r="AL28" i="2"/>
  <c r="CE39" i="1" s="1"/>
  <c r="AM28" i="2"/>
  <c r="CM39" i="1" s="1"/>
  <c r="AN28" i="2"/>
  <c r="CU39" i="1" s="1"/>
  <c r="AI29" i="2"/>
  <c r="BH40" i="1" s="1"/>
  <c r="AJ29" i="2"/>
  <c r="BP40" i="1" s="1"/>
  <c r="AK29" i="2"/>
  <c r="BW40" i="1" s="1"/>
  <c r="AL29" i="2"/>
  <c r="CE40" i="1" s="1"/>
  <c r="AM29" i="2"/>
  <c r="CM40" i="1" s="1"/>
  <c r="AN29" i="2"/>
  <c r="CU40" i="1" s="1"/>
  <c r="AI30" i="2"/>
  <c r="BH41" i="1" s="1"/>
  <c r="AJ30" i="2"/>
  <c r="BP41" i="1" s="1"/>
  <c r="AK30" i="2"/>
  <c r="BW41" i="1" s="1"/>
  <c r="AL30" i="2"/>
  <c r="CE41" i="1" s="1"/>
  <c r="AM30" i="2"/>
  <c r="CM41" i="1" s="1"/>
  <c r="AN30" i="2"/>
  <c r="CU41" i="1" s="1"/>
  <c r="AI31" i="2"/>
  <c r="BH42" i="1" s="1"/>
  <c r="AJ31" i="2"/>
  <c r="BP42" i="1" s="1"/>
  <c r="AK31" i="2"/>
  <c r="BW42" i="1" s="1"/>
  <c r="AL31" i="2"/>
  <c r="CE42" i="1" s="1"/>
  <c r="AM31" i="2"/>
  <c r="CM42" i="1" s="1"/>
  <c r="AN31" i="2"/>
  <c r="CU42" i="1" s="1"/>
  <c r="AI32" i="2"/>
  <c r="BH46" i="1" s="1"/>
  <c r="AJ32" i="2"/>
  <c r="BP46" i="1" s="1"/>
  <c r="AK32" i="2"/>
  <c r="BW46" i="1" s="1"/>
  <c r="AL32" i="2"/>
  <c r="CE46" i="1" s="1"/>
  <c r="AM32" i="2"/>
  <c r="CM46" i="1" s="1"/>
  <c r="AN32" i="2"/>
  <c r="CU46" i="1" s="1"/>
  <c r="AI33" i="2"/>
  <c r="BH47" i="1" s="1"/>
  <c r="AJ33" i="2"/>
  <c r="BP47" i="1" s="1"/>
  <c r="AK33" i="2"/>
  <c r="BW47" i="1" s="1"/>
  <c r="AL33" i="2"/>
  <c r="CE47" i="1" s="1"/>
  <c r="AM33" i="2"/>
  <c r="CM47" i="1" s="1"/>
  <c r="AN33" i="2"/>
  <c r="CU47" i="1" s="1"/>
  <c r="AI34" i="2"/>
  <c r="BH48" i="1" s="1"/>
  <c r="AJ34" i="2"/>
  <c r="BP48" i="1" s="1"/>
  <c r="AK34" i="2"/>
  <c r="BW48" i="1" s="1"/>
  <c r="AL34" i="2"/>
  <c r="CE48" i="1" s="1"/>
  <c r="AM34" i="2"/>
  <c r="CM48" i="1" s="1"/>
  <c r="AN34" i="2"/>
  <c r="CU48" i="1" s="1"/>
  <c r="AN5" i="2"/>
  <c r="CU4" i="1" s="1"/>
  <c r="AJ5" i="2"/>
  <c r="BP4" i="1" s="1"/>
  <c r="AK5" i="2"/>
  <c r="BW4" i="1" s="1"/>
  <c r="AL5" i="2"/>
  <c r="CE4" i="1" s="1"/>
  <c r="AI5" i="2"/>
  <c r="BH4" i="1" s="1"/>
  <c r="AH5" i="2"/>
  <c r="AY4" i="1" s="1"/>
  <c r="AD6" i="2"/>
  <c r="S5" i="1" s="1"/>
  <c r="AB6" i="2"/>
  <c r="D5" i="1" s="1"/>
  <c r="AB25" i="2"/>
  <c r="D30" i="1" s="1"/>
  <c r="AC7" i="2"/>
  <c r="L6" i="1" s="1"/>
  <c r="AB7" i="2"/>
  <c r="D6" i="1" s="1"/>
  <c r="AB8" i="2"/>
  <c r="D7" i="1" s="1"/>
  <c r="AB9" i="2"/>
  <c r="AB10" i="2"/>
  <c r="D9" i="1" s="1"/>
  <c r="AB11" i="2"/>
  <c r="D10" i="1" s="1"/>
  <c r="AB12" i="2"/>
  <c r="D11" i="1" s="1"/>
  <c r="AB13" i="2"/>
  <c r="D12" i="1" s="1"/>
  <c r="AB14" i="2"/>
  <c r="D13" i="1" s="1"/>
  <c r="AB15" i="2"/>
  <c r="D14" i="1" s="1"/>
  <c r="AB16" i="2"/>
  <c r="D18" i="1" s="1"/>
  <c r="AB17" i="2"/>
  <c r="D19" i="1" s="1"/>
  <c r="AB18" i="2"/>
  <c r="D20" i="1" s="1"/>
  <c r="AB19" i="2"/>
  <c r="D21" i="1" s="1"/>
  <c r="AB20" i="2"/>
  <c r="D22" i="1" s="1"/>
  <c r="AB21" i="2"/>
  <c r="D23" i="1" s="1"/>
  <c r="AB22" i="2"/>
  <c r="D27" i="1" s="1"/>
  <c r="AB23" i="2"/>
  <c r="D28" i="1" s="1"/>
  <c r="AB24" i="2"/>
  <c r="D29" i="1" s="1"/>
  <c r="AB26" i="2"/>
  <c r="D34" i="1" s="1"/>
  <c r="AB27" i="2"/>
  <c r="D35" i="1" s="1"/>
  <c r="AB28" i="2"/>
  <c r="D39" i="1" s="1"/>
  <c r="AB29" i="2"/>
  <c r="D40" i="1" s="1"/>
  <c r="AB30" i="2"/>
  <c r="D41" i="1" s="1"/>
  <c r="AB31" i="2"/>
  <c r="D42" i="1" s="1"/>
  <c r="AB32" i="2"/>
  <c r="D46" i="1" s="1"/>
  <c r="AB33" i="2"/>
  <c r="D47" i="1" s="1"/>
  <c r="AB34" i="2"/>
  <c r="D48" i="1" s="1"/>
  <c r="AE16" i="2"/>
  <c r="AA18" i="1" s="1"/>
  <c r="AH6" i="2"/>
  <c r="AY5" i="1" s="1"/>
  <c r="AH7" i="2"/>
  <c r="AY6" i="1" s="1"/>
  <c r="AH8" i="2"/>
  <c r="AY7" i="1" s="1"/>
  <c r="AH9" i="2"/>
  <c r="AY8" i="1" s="1"/>
  <c r="AH10" i="2"/>
  <c r="AY9" i="1" s="1"/>
  <c r="AH11" i="2"/>
  <c r="AY10" i="1" s="1"/>
  <c r="AH12" i="2"/>
  <c r="AY11" i="1" s="1"/>
  <c r="AH13" i="2"/>
  <c r="AY12" i="1" s="1"/>
  <c r="AH14" i="2"/>
  <c r="AY13" i="1" s="1"/>
  <c r="AH15" i="2"/>
  <c r="AY14" i="1" s="1"/>
  <c r="AH16" i="2"/>
  <c r="AY18" i="1" s="1"/>
  <c r="AH17" i="2"/>
  <c r="AY19" i="1" s="1"/>
  <c r="AH18" i="2"/>
  <c r="AY20" i="1" s="1"/>
  <c r="AH19" i="2"/>
  <c r="AY21" i="1" s="1"/>
  <c r="AH20" i="2"/>
  <c r="AY22" i="1" s="1"/>
  <c r="AH21" i="2"/>
  <c r="AY23" i="1" s="1"/>
  <c r="AH22" i="2"/>
  <c r="AY27" i="1" s="1"/>
  <c r="AH23" i="2"/>
  <c r="AY28" i="1" s="1"/>
  <c r="AH24" i="2"/>
  <c r="AY29" i="1" s="1"/>
  <c r="AH25" i="2"/>
  <c r="AY30" i="1" s="1"/>
  <c r="AH26" i="2"/>
  <c r="AY34" i="1" s="1"/>
  <c r="AH27" i="2"/>
  <c r="AY35" i="1" s="1"/>
  <c r="AH28" i="2"/>
  <c r="AY39" i="1" s="1"/>
  <c r="AH29" i="2"/>
  <c r="AY40" i="1" s="1"/>
  <c r="AH30" i="2"/>
  <c r="AY41" i="1" s="1"/>
  <c r="AH31" i="2"/>
  <c r="AY42" i="1" s="1"/>
  <c r="AH32" i="2"/>
  <c r="AY46" i="1" s="1"/>
  <c r="AH33" i="2"/>
  <c r="AY47" i="1" s="1"/>
  <c r="AH34" i="2"/>
  <c r="AY48" i="1" s="1"/>
  <c r="AG6" i="2"/>
  <c r="AQ5" i="1" s="1"/>
  <c r="AG7" i="2"/>
  <c r="AQ6" i="1" s="1"/>
  <c r="AG8" i="2"/>
  <c r="AQ7" i="1" s="1"/>
  <c r="AG9" i="2"/>
  <c r="AQ8" i="1" s="1"/>
  <c r="AG10" i="2"/>
  <c r="AQ9" i="1" s="1"/>
  <c r="AG11" i="2"/>
  <c r="AQ10" i="1" s="1"/>
  <c r="AG12" i="2"/>
  <c r="AQ11" i="1" s="1"/>
  <c r="AG13" i="2"/>
  <c r="AQ12" i="1" s="1"/>
  <c r="AG14" i="2"/>
  <c r="AQ13" i="1" s="1"/>
  <c r="AG15" i="2"/>
  <c r="AQ14" i="1" s="1"/>
  <c r="AG16" i="2"/>
  <c r="AQ18" i="1" s="1"/>
  <c r="AG17" i="2"/>
  <c r="AQ19" i="1" s="1"/>
  <c r="AG18" i="2"/>
  <c r="AQ20" i="1" s="1"/>
  <c r="AG19" i="2"/>
  <c r="AQ21" i="1" s="1"/>
  <c r="AG20" i="2"/>
  <c r="AQ22" i="1" s="1"/>
  <c r="AG21" i="2"/>
  <c r="AQ23" i="1" s="1"/>
  <c r="AG22" i="2"/>
  <c r="AQ27" i="1" s="1"/>
  <c r="AG23" i="2"/>
  <c r="AQ28" i="1" s="1"/>
  <c r="AG24" i="2"/>
  <c r="AQ29" i="1" s="1"/>
  <c r="AG25" i="2"/>
  <c r="AQ30" i="1" s="1"/>
  <c r="AG26" i="2"/>
  <c r="AQ34" i="1" s="1"/>
  <c r="AG27" i="2"/>
  <c r="AQ35" i="1" s="1"/>
  <c r="AG28" i="2"/>
  <c r="AQ39" i="1" s="1"/>
  <c r="AG29" i="2"/>
  <c r="AQ40" i="1" s="1"/>
  <c r="AG30" i="2"/>
  <c r="AQ41" i="1" s="1"/>
  <c r="AG31" i="2"/>
  <c r="AQ42" i="1" s="1"/>
  <c r="AG32" i="2"/>
  <c r="AQ46" i="1" s="1"/>
  <c r="AG33" i="2"/>
  <c r="AQ47" i="1" s="1"/>
  <c r="AG34" i="2"/>
  <c r="AQ48" i="1" s="1"/>
  <c r="AF6" i="2"/>
  <c r="AI5" i="1" s="1"/>
  <c r="AF7" i="2"/>
  <c r="AI6" i="1" s="1"/>
  <c r="AF8" i="2"/>
  <c r="AI7" i="1" s="1"/>
  <c r="AF9" i="2"/>
  <c r="AI8" i="1" s="1"/>
  <c r="AF10" i="2"/>
  <c r="AI9" i="1" s="1"/>
  <c r="AF11" i="2"/>
  <c r="AI10" i="1" s="1"/>
  <c r="AF12" i="2"/>
  <c r="AI11" i="1" s="1"/>
  <c r="AF13" i="2"/>
  <c r="AI12" i="1" s="1"/>
  <c r="AF14" i="2"/>
  <c r="AI13" i="1" s="1"/>
  <c r="AF15" i="2"/>
  <c r="AI14" i="1" s="1"/>
  <c r="AF16" i="2"/>
  <c r="AI18" i="1" s="1"/>
  <c r="AF17" i="2"/>
  <c r="AI19" i="1" s="1"/>
  <c r="AF18" i="2"/>
  <c r="AI20" i="1" s="1"/>
  <c r="AF19" i="2"/>
  <c r="AI21" i="1" s="1"/>
  <c r="AF20" i="2"/>
  <c r="AI22" i="1" s="1"/>
  <c r="AF21" i="2"/>
  <c r="AI23" i="1" s="1"/>
  <c r="AF22" i="2"/>
  <c r="AI27" i="1" s="1"/>
  <c r="AF23" i="2"/>
  <c r="AI28" i="1" s="1"/>
  <c r="AF24" i="2"/>
  <c r="AI29" i="1" s="1"/>
  <c r="AF25" i="2"/>
  <c r="AI30" i="1" s="1"/>
  <c r="AF26" i="2"/>
  <c r="AI34" i="1" s="1"/>
  <c r="AF27" i="2"/>
  <c r="AI35" i="1" s="1"/>
  <c r="AF28" i="2"/>
  <c r="AI39" i="1" s="1"/>
  <c r="AF29" i="2"/>
  <c r="AI40" i="1" s="1"/>
  <c r="AF30" i="2"/>
  <c r="AI41" i="1" s="1"/>
  <c r="AF31" i="2"/>
  <c r="AI42" i="1" s="1"/>
  <c r="AF32" i="2"/>
  <c r="AI46" i="1" s="1"/>
  <c r="AF33" i="2"/>
  <c r="AI47" i="1" s="1"/>
  <c r="AF34" i="2"/>
  <c r="AI48" i="1" s="1"/>
  <c r="AE6" i="2"/>
  <c r="AA5" i="1" s="1"/>
  <c r="AE7" i="2"/>
  <c r="AA6" i="1" s="1"/>
  <c r="AE8" i="2"/>
  <c r="AA7" i="1" s="1"/>
  <c r="AE9" i="2"/>
  <c r="AA8" i="1" s="1"/>
  <c r="AE10" i="2"/>
  <c r="AA9" i="1" s="1"/>
  <c r="AE11" i="2"/>
  <c r="AA10" i="1" s="1"/>
  <c r="AE12" i="2"/>
  <c r="AA11" i="1" s="1"/>
  <c r="AE13" i="2"/>
  <c r="AA12" i="1" s="1"/>
  <c r="AE14" i="2"/>
  <c r="AA13" i="1" s="1"/>
  <c r="AE15" i="2"/>
  <c r="AA14" i="1" s="1"/>
  <c r="AE17" i="2"/>
  <c r="AA19" i="1" s="1"/>
  <c r="AE18" i="2"/>
  <c r="AA20" i="1" s="1"/>
  <c r="AE19" i="2"/>
  <c r="AA21" i="1" s="1"/>
  <c r="AE20" i="2"/>
  <c r="AA22" i="1" s="1"/>
  <c r="AE21" i="2"/>
  <c r="AA23" i="1" s="1"/>
  <c r="AE22" i="2"/>
  <c r="AA27" i="1" s="1"/>
  <c r="AE23" i="2"/>
  <c r="AA28" i="1" s="1"/>
  <c r="AE24" i="2"/>
  <c r="AA29" i="1" s="1"/>
  <c r="AE25" i="2"/>
  <c r="AA30" i="1" s="1"/>
  <c r="AE26" i="2"/>
  <c r="AA34" i="1" s="1"/>
  <c r="AE27" i="2"/>
  <c r="AA35" i="1" s="1"/>
  <c r="AE28" i="2"/>
  <c r="AA39" i="1" s="1"/>
  <c r="AE29" i="2"/>
  <c r="AA40" i="1" s="1"/>
  <c r="AE30" i="2"/>
  <c r="AA41" i="1" s="1"/>
  <c r="AE31" i="2"/>
  <c r="AA42" i="1" s="1"/>
  <c r="AE32" i="2"/>
  <c r="AA46" i="1" s="1"/>
  <c r="AE33" i="2"/>
  <c r="AA47" i="1" s="1"/>
  <c r="AE34" i="2"/>
  <c r="AA48" i="1" s="1"/>
  <c r="AF5" i="2"/>
  <c r="AI4" i="1" s="1"/>
  <c r="AG5" i="2"/>
  <c r="AQ4" i="1" s="1"/>
  <c r="AB5" i="2"/>
  <c r="D4" i="1" s="1"/>
  <c r="D8" i="1"/>
  <c r="AD7" i="2"/>
  <c r="S6" i="1" s="1"/>
  <c r="AD8" i="2"/>
  <c r="S7" i="1" s="1"/>
  <c r="AD9" i="2"/>
  <c r="S8" i="1" s="1"/>
  <c r="AD10" i="2"/>
  <c r="S9" i="1" s="1"/>
  <c r="AD11" i="2"/>
  <c r="S10" i="1" s="1"/>
  <c r="AD12" i="2"/>
  <c r="S11" i="1" s="1"/>
  <c r="AD13" i="2"/>
  <c r="S12" i="1" s="1"/>
  <c r="AD14" i="2"/>
  <c r="S13" i="1" s="1"/>
  <c r="AD15" i="2"/>
  <c r="S14" i="1" s="1"/>
  <c r="AD16" i="2"/>
  <c r="S18" i="1" s="1"/>
  <c r="AD17" i="2"/>
  <c r="S19" i="1" s="1"/>
  <c r="AD18" i="2"/>
  <c r="S20" i="1" s="1"/>
  <c r="AD19" i="2"/>
  <c r="S21" i="1" s="1"/>
  <c r="AD20" i="2"/>
  <c r="S22" i="1" s="1"/>
  <c r="AD21" i="2"/>
  <c r="S23" i="1" s="1"/>
  <c r="AD22" i="2"/>
  <c r="S27" i="1" s="1"/>
  <c r="AD23" i="2"/>
  <c r="S28" i="1" s="1"/>
  <c r="AD24" i="2"/>
  <c r="S29" i="1" s="1"/>
  <c r="AD25" i="2"/>
  <c r="S30" i="1" s="1"/>
  <c r="AD26" i="2"/>
  <c r="S34" i="1" s="1"/>
  <c r="AD27" i="2"/>
  <c r="S35" i="1" s="1"/>
  <c r="AD28" i="2"/>
  <c r="S39" i="1" s="1"/>
  <c r="AD29" i="2"/>
  <c r="S40" i="1" s="1"/>
  <c r="AD30" i="2"/>
  <c r="S41" i="1" s="1"/>
  <c r="AD31" i="2"/>
  <c r="S42" i="1" s="1"/>
  <c r="AD32" i="2"/>
  <c r="S46" i="1" s="1"/>
  <c r="AD33" i="2"/>
  <c r="S47" i="1" s="1"/>
  <c r="AD34" i="2"/>
  <c r="S48" i="1" s="1"/>
  <c r="AD5" i="2"/>
  <c r="S4" i="1" s="1"/>
  <c r="AC5" i="2"/>
  <c r="L4" i="1" s="1"/>
  <c r="AC25" i="2"/>
  <c r="L30" i="1" s="1"/>
  <c r="AC30" i="2"/>
  <c r="L41" i="1" s="1"/>
  <c r="AC32" i="2"/>
  <c r="L46" i="1" s="1"/>
  <c r="L5" i="1"/>
  <c r="AC8" i="2"/>
  <c r="L7" i="1" s="1"/>
  <c r="AC9" i="2"/>
  <c r="L8" i="1" s="1"/>
  <c r="AC10" i="2"/>
  <c r="L9" i="1" s="1"/>
  <c r="AC11" i="2"/>
  <c r="L10" i="1" s="1"/>
  <c r="AC12" i="2"/>
  <c r="L11" i="1" s="1"/>
  <c r="AC13" i="2"/>
  <c r="L12" i="1" s="1"/>
  <c r="AC14" i="2"/>
  <c r="L13" i="1" s="1"/>
  <c r="AC15" i="2"/>
  <c r="L14" i="1" s="1"/>
  <c r="AC16" i="2"/>
  <c r="L18" i="1" s="1"/>
  <c r="AC17" i="2"/>
  <c r="L19" i="1" s="1"/>
  <c r="AC18" i="2"/>
  <c r="L20" i="1" s="1"/>
  <c r="AC19" i="2"/>
  <c r="L21" i="1" s="1"/>
  <c r="AC20" i="2"/>
  <c r="L22" i="1" s="1"/>
  <c r="AC21" i="2"/>
  <c r="L23" i="1" s="1"/>
  <c r="AC22" i="2"/>
  <c r="L27" i="1" s="1"/>
  <c r="AC23" i="2"/>
  <c r="L28" i="1" s="1"/>
  <c r="AC24" i="2"/>
  <c r="L29" i="1" s="1"/>
  <c r="AC26" i="2"/>
  <c r="L34" i="1" s="1"/>
  <c r="AC27" i="2"/>
  <c r="L35" i="1" s="1"/>
  <c r="AC28" i="2"/>
  <c r="L39" i="1" s="1"/>
  <c r="AC29" i="2"/>
  <c r="L40" i="1" s="1"/>
  <c r="AC31" i="2"/>
  <c r="L42" i="1" s="1"/>
  <c r="AC33" i="2"/>
  <c r="L47" i="1" s="1"/>
  <c r="AC34" i="2"/>
  <c r="L48" i="1" s="1"/>
  <c r="AX46" i="1"/>
  <c r="AX47" i="1"/>
  <c r="AX48" i="1"/>
  <c r="AX39" i="1"/>
  <c r="AX40" i="1"/>
  <c r="AX41" i="1"/>
  <c r="AX42" i="1"/>
  <c r="AX34" i="1"/>
  <c r="AX35" i="1"/>
  <c r="AX27" i="1"/>
  <c r="AX28" i="1"/>
  <c r="AX29" i="1"/>
  <c r="AX30" i="1"/>
  <c r="AX18" i="1"/>
  <c r="AX19" i="1"/>
  <c r="AX20" i="1"/>
  <c r="AX21" i="1"/>
  <c r="AX22" i="1"/>
  <c r="AX23" i="1"/>
  <c r="AX4" i="1"/>
  <c r="AX5" i="1"/>
  <c r="AX6" i="1"/>
  <c r="AX7" i="1"/>
  <c r="AX8" i="1"/>
  <c r="AX9" i="1"/>
  <c r="AX10" i="1"/>
  <c r="AX11" i="1"/>
  <c r="AX12" i="1"/>
  <c r="AX13" i="1"/>
  <c r="AX14" i="1"/>
  <c r="AP46" i="1"/>
  <c r="AP47" i="1"/>
  <c r="AP48" i="1"/>
  <c r="AP39" i="1"/>
  <c r="AP40" i="1"/>
  <c r="AP41" i="1"/>
  <c r="AP42" i="1"/>
  <c r="AP34" i="1"/>
  <c r="AP35" i="1"/>
  <c r="AP27" i="1"/>
  <c r="AP28" i="1"/>
  <c r="AP29" i="1"/>
  <c r="AP30" i="1"/>
  <c r="AP18" i="1"/>
  <c r="AP19" i="1"/>
  <c r="AP20" i="1"/>
  <c r="AP21" i="1"/>
  <c r="AP22" i="1"/>
  <c r="AP23" i="1"/>
  <c r="AP4" i="1"/>
  <c r="AP5" i="1"/>
  <c r="AP6" i="1"/>
  <c r="AP7" i="1"/>
  <c r="AP8" i="1"/>
  <c r="AP9" i="1"/>
  <c r="AP10" i="1"/>
  <c r="AP11" i="1"/>
  <c r="AP12" i="1"/>
  <c r="AP13" i="1"/>
  <c r="AP14" i="1"/>
  <c r="AH46" i="1"/>
  <c r="AH47" i="1"/>
  <c r="AH48" i="1"/>
  <c r="AH39" i="1"/>
  <c r="AH40" i="1"/>
  <c r="AH41" i="1"/>
  <c r="AH42" i="1"/>
  <c r="AH34" i="1"/>
  <c r="AH35" i="1"/>
  <c r="AH27" i="1"/>
  <c r="AH28" i="1"/>
  <c r="AH29" i="1"/>
  <c r="AH30" i="1"/>
  <c r="AH18" i="1"/>
  <c r="AH19" i="1"/>
  <c r="AH20" i="1"/>
  <c r="AH21" i="1"/>
  <c r="AH22" i="1"/>
  <c r="AH23" i="1"/>
  <c r="AH5" i="1"/>
  <c r="AH6" i="1"/>
  <c r="AH7" i="1"/>
  <c r="AH8" i="1"/>
  <c r="AH9" i="1"/>
  <c r="AH10" i="1"/>
  <c r="AH11" i="1"/>
  <c r="AH12" i="1"/>
  <c r="AH13" i="1"/>
  <c r="AH14" i="1"/>
  <c r="Z46" i="1"/>
  <c r="Z47" i="1"/>
  <c r="Z48" i="1"/>
  <c r="Z39" i="1"/>
  <c r="Z40" i="1"/>
  <c r="Z41" i="1"/>
  <c r="Z42" i="1"/>
  <c r="Z34" i="1"/>
  <c r="Z35" i="1"/>
  <c r="R46" i="1"/>
  <c r="R47" i="1"/>
  <c r="R48" i="1"/>
  <c r="R39" i="1"/>
  <c r="R40" i="1"/>
  <c r="R41" i="1"/>
  <c r="R42" i="1"/>
  <c r="R35" i="1"/>
  <c r="R34" i="1"/>
  <c r="Z27" i="1"/>
  <c r="Z28" i="1"/>
  <c r="Z29" i="1"/>
  <c r="Z30" i="1"/>
  <c r="Z18" i="1"/>
  <c r="Z19" i="1"/>
  <c r="Z20" i="1"/>
  <c r="Z21" i="1"/>
  <c r="Z22" i="1"/>
  <c r="Z23" i="1"/>
  <c r="Z5" i="1"/>
  <c r="Z6" i="1"/>
  <c r="Z7" i="1"/>
  <c r="Z8" i="1"/>
  <c r="Z9" i="1"/>
  <c r="Z10" i="1"/>
  <c r="Z11" i="1"/>
  <c r="Z12" i="1"/>
  <c r="Z13" i="1"/>
  <c r="Z14" i="1"/>
  <c r="R27" i="1"/>
  <c r="R28" i="1"/>
  <c r="R29" i="1"/>
  <c r="R30" i="1"/>
  <c r="K27" i="1"/>
  <c r="R18" i="1"/>
  <c r="R19" i="1"/>
  <c r="R20" i="1"/>
  <c r="R21" i="1"/>
  <c r="R22" i="1"/>
  <c r="R23" i="1"/>
  <c r="R4" i="1"/>
  <c r="R5" i="1"/>
  <c r="R6" i="1"/>
  <c r="R7" i="1"/>
  <c r="R8" i="1"/>
  <c r="R9" i="1"/>
  <c r="R10" i="1"/>
  <c r="R11" i="1"/>
  <c r="R12" i="1"/>
  <c r="R13" i="1"/>
  <c r="R14" i="1"/>
  <c r="K46" i="1"/>
  <c r="K47" i="1"/>
  <c r="K48" i="1"/>
  <c r="K39" i="1"/>
  <c r="K40" i="1"/>
  <c r="K41" i="1"/>
  <c r="K42" i="1"/>
  <c r="K34" i="1"/>
  <c r="K35" i="1"/>
  <c r="C34" i="1"/>
  <c r="K28" i="1"/>
  <c r="K29" i="1"/>
  <c r="K30" i="1"/>
  <c r="K18" i="1"/>
  <c r="K19" i="1"/>
  <c r="K20" i="1"/>
  <c r="K21" i="1"/>
  <c r="K22" i="1"/>
  <c r="K23" i="1"/>
  <c r="C18" i="1"/>
  <c r="K4" i="1"/>
  <c r="K5" i="1"/>
  <c r="K6" i="1"/>
  <c r="K7" i="1"/>
  <c r="K8" i="1"/>
  <c r="K9" i="1"/>
  <c r="K10" i="1"/>
  <c r="K11" i="1"/>
  <c r="K12" i="1"/>
  <c r="K13" i="1"/>
  <c r="K14" i="1"/>
  <c r="C4" i="1"/>
  <c r="C46" i="1"/>
  <c r="C47" i="1"/>
  <c r="C48" i="1"/>
  <c r="C39" i="1"/>
  <c r="C40" i="1"/>
  <c r="C41" i="1"/>
  <c r="C42" i="1"/>
  <c r="C35" i="1"/>
  <c r="C27" i="1"/>
  <c r="C28" i="1"/>
  <c r="C29" i="1"/>
  <c r="C30" i="1"/>
  <c r="C19" i="1"/>
  <c r="C20" i="1"/>
  <c r="C21" i="1"/>
  <c r="C22" i="1"/>
  <c r="C23" i="1"/>
  <c r="C5" i="1"/>
  <c r="C6" i="1"/>
  <c r="C7" i="1"/>
  <c r="C8" i="1"/>
  <c r="C9" i="1"/>
  <c r="C10" i="1"/>
  <c r="C11" i="1"/>
  <c r="C12" i="1"/>
  <c r="C13" i="1"/>
  <c r="C14" i="1"/>
  <c r="BS3" i="26" l="1"/>
  <c r="BS4" i="26" s="1"/>
  <c r="CL29" i="26" a="1"/>
  <c r="CL29" i="26" s="1"/>
  <c r="CO29" i="26" s="1" a="1"/>
  <c r="CO29" i="26" s="1"/>
  <c r="CP29" i="26" s="1"/>
  <c r="CL30" i="26" a="1"/>
  <c r="CL30" i="26" s="1"/>
  <c r="CO30" i="26" s="1" a="1"/>
  <c r="CO30" i="26" s="1"/>
  <c r="CP30" i="26" s="1"/>
  <c r="CL24" i="26" a="1"/>
  <c r="CL24" i="26" s="1"/>
  <c r="CO24" i="26" s="1" a="1"/>
  <c r="CO24" i="26" s="1"/>
  <c r="CP24" i="26" s="1"/>
  <c r="CL34" i="26" a="1"/>
  <c r="CL34" i="26" s="1"/>
  <c r="CO34" i="26" s="1" a="1"/>
  <c r="CO34" i="26" s="1"/>
  <c r="CP34" i="26" s="1"/>
  <c r="CL25" i="26" a="1"/>
  <c r="CL25" i="26" s="1"/>
  <c r="CO25" i="26" s="1" a="1"/>
  <c r="CO25" i="26" s="1"/>
  <c r="CP25" i="26" s="1"/>
  <c r="CL36" i="26" a="1"/>
  <c r="CL36" i="26" s="1"/>
  <c r="CO36" i="26" s="1" a="1"/>
  <c r="CO36" i="26" s="1"/>
  <c r="CP36" i="26" s="1"/>
  <c r="CL26" i="26" a="1"/>
  <c r="CL26" i="26" s="1"/>
  <c r="CO26" i="26" s="1" a="1"/>
  <c r="CO26" i="26" s="1"/>
  <c r="CP26" i="26" s="1"/>
  <c r="CL32" i="26" a="1"/>
  <c r="CL32" i="26" s="1"/>
  <c r="CO32" i="26" s="1" a="1"/>
  <c r="CO32" i="26" s="1"/>
  <c r="CP32" i="26" s="1"/>
  <c r="CL37" i="26" a="1"/>
  <c r="CL37" i="26" s="1"/>
  <c r="CO37" i="26" s="1" a="1"/>
  <c r="CO37" i="26" s="1"/>
  <c r="CP37" i="26" s="1"/>
  <c r="CL28" i="26" a="1"/>
  <c r="CL28" i="26" s="1"/>
  <c r="CO28" i="26" s="1" a="1"/>
  <c r="CO28" i="26" s="1"/>
  <c r="CP28" i="26" s="1"/>
  <c r="CL33" i="26" a="1"/>
  <c r="CL33" i="26" s="1"/>
  <c r="CO33" i="26" s="1" a="1"/>
  <c r="CO33" i="26" s="1"/>
  <c r="CP33" i="26" s="1"/>
  <c r="CL38" i="26" a="1"/>
  <c r="CL38" i="26" s="1"/>
  <c r="CO38" i="26" s="1" a="1"/>
  <c r="CO38" i="26" s="1"/>
  <c r="CP38" i="26" s="1"/>
  <c r="CB4" i="26"/>
  <c r="CC4" i="26" s="1" a="1"/>
  <c r="CC4" i="26" s="1"/>
  <c r="BY4" i="26" a="1"/>
  <c r="BY4" i="26" s="1"/>
  <c r="BY13" i="26" a="1"/>
  <c r="BY13" i="26" s="1"/>
  <c r="CB13" i="26"/>
  <c r="CC13" i="26" s="1" a="1"/>
  <c r="CC13" i="26" s="1"/>
  <c r="CB9" i="26"/>
  <c r="CC9" i="26" s="1" a="1"/>
  <c r="CC9" i="26" s="1"/>
  <c r="BY9" i="26" a="1"/>
  <c r="BY9" i="26" s="1"/>
  <c r="CL27" i="26" a="1"/>
  <c r="CL27" i="26" s="1"/>
  <c r="CO27" i="26" s="1" a="1"/>
  <c r="CO27" i="26" s="1"/>
  <c r="CP27" i="26" s="1"/>
  <c r="CL31" i="26" a="1"/>
  <c r="CL31" i="26" s="1"/>
  <c r="CO31" i="26" s="1" a="1"/>
  <c r="CO31" i="26" s="1"/>
  <c r="CP31" i="26" s="1"/>
  <c r="CL35" i="26" a="1"/>
  <c r="CL35" i="26" s="1"/>
  <c r="CO35" i="26" s="1" a="1"/>
  <c r="CO35" i="26" s="1"/>
  <c r="CP35" i="26" s="1"/>
  <c r="CL39" i="26" a="1"/>
  <c r="CL39" i="26" s="1"/>
  <c r="CO39" i="26" s="1" a="1"/>
  <c r="CO39" i="26" s="1"/>
  <c r="CP39" i="26" s="1"/>
  <c r="BY8" i="26" a="1"/>
  <c r="BY8" i="26" s="1"/>
  <c r="CB8" i="26"/>
  <c r="CC8" i="26" s="1" a="1"/>
  <c r="CC8" i="26" s="1"/>
  <c r="BY6" i="26" a="1"/>
  <c r="BY6" i="26" s="1"/>
  <c r="CB6" i="26"/>
  <c r="CC6" i="26" s="1" a="1"/>
  <c r="CC6" i="26" s="1"/>
  <c r="CB11" i="26"/>
  <c r="CC11" i="26" s="1" a="1"/>
  <c r="CC11" i="26" s="1"/>
  <c r="BY11" i="26" a="1"/>
  <c r="BY11" i="26" s="1"/>
  <c r="BY12" i="26" a="1"/>
  <c r="BY12" i="26" s="1"/>
  <c r="CB12" i="26"/>
  <c r="CC12" i="26" s="1" a="1"/>
  <c r="CC12" i="26" s="1"/>
  <c r="BY5" i="26" a="1"/>
  <c r="BY5" i="26" s="1"/>
  <c r="CB5" i="26"/>
  <c r="CC5" i="26" s="1" a="1"/>
  <c r="CC5" i="26" s="1"/>
  <c r="CB17" i="26"/>
  <c r="CC17" i="26" s="1" a="1"/>
  <c r="CC17" i="26" s="1"/>
  <c r="BY17" i="26" a="1"/>
  <c r="BY17" i="26" s="1"/>
  <c r="BL15" i="26" a="1"/>
  <c r="BL15" i="26" s="1"/>
  <c r="BM15" i="26" s="1"/>
  <c r="BK15" i="26"/>
  <c r="BO15" i="26"/>
  <c r="CO23" i="26" a="1"/>
  <c r="CO23" i="26" s="1"/>
  <c r="CN23" i="26" a="1"/>
  <c r="CN23" i="26" s="1"/>
  <c r="CM23" i="26"/>
  <c r="BJ11" i="26" a="1"/>
  <c r="BJ11" i="26" s="1"/>
  <c r="BN11" i="26" s="1" a="1"/>
  <c r="BN11" i="26" s="1"/>
  <c r="BJ8" i="26" a="1"/>
  <c r="BJ8" i="26" s="1"/>
  <c r="BN8" i="26" s="1" a="1"/>
  <c r="BN8" i="26" s="1"/>
  <c r="BY14" i="26" a="1"/>
  <c r="BY14" i="26" s="1"/>
  <c r="BY15" i="26" a="1"/>
  <c r="BY15" i="26" s="1"/>
  <c r="BJ4" i="26" a="1"/>
  <c r="BJ4" i="26" s="1"/>
  <c r="BJ5" i="26" a="1"/>
  <c r="BJ5" i="26" s="1"/>
  <c r="BY7" i="26" a="1"/>
  <c r="BY7" i="26" s="1"/>
  <c r="BY10" i="26" a="1"/>
  <c r="BY10" i="26" s="1"/>
  <c r="BJ12" i="26" a="1"/>
  <c r="BJ12" i="26" s="1"/>
  <c r="BN12" i="26" s="1" a="1"/>
  <c r="BN12" i="26" s="1"/>
  <c r="BY16" i="26" a="1"/>
  <c r="BY16" i="26" s="1"/>
  <c r="BJ9" i="26" a="1"/>
  <c r="BJ9" i="26" s="1"/>
  <c r="BN9" i="26" s="1" a="1"/>
  <c r="BN9" i="26" s="1"/>
  <c r="BJ13" i="26" a="1"/>
  <c r="BJ13" i="26" s="1"/>
  <c r="BN13" i="26" s="1" a="1"/>
  <c r="BN13" i="26" s="1"/>
  <c r="BJ7" i="26" a="1"/>
  <c r="BJ7" i="26" s="1"/>
  <c r="BN7" i="26" s="1" a="1"/>
  <c r="BN7" i="26" s="1"/>
  <c r="BJ14" i="26" a="1"/>
  <c r="BJ14" i="26" s="1"/>
  <c r="BN14" i="26" s="1" a="1"/>
  <c r="BN14" i="26" s="1"/>
  <c r="BJ6" i="26" a="1"/>
  <c r="BJ6" i="26" s="1"/>
  <c r="BN6" i="26" s="1" a="1"/>
  <c r="BN6" i="26" s="1"/>
  <c r="BB3" i="26"/>
  <c r="BJ3" i="26" s="1" a="1"/>
  <c r="BJ3" i="26" s="1"/>
  <c r="BN3" i="26" s="1" a="1"/>
  <c r="BN3" i="26" s="1"/>
  <c r="BJ10" i="26" a="1"/>
  <c r="BJ10" i="26" s="1"/>
  <c r="BN10" i="26" s="1" a="1"/>
  <c r="BN10" i="26" s="1"/>
  <c r="BV9" i="26" l="1" a="1"/>
  <c r="BV9" i="26" s="1"/>
  <c r="BV4" i="26" a="1"/>
  <c r="BV4" i="26" s="1"/>
  <c r="BL5" i="26" a="1"/>
  <c r="BL5" i="26" s="1"/>
  <c r="BN5" i="26" a="1"/>
  <c r="BN5" i="26" s="1"/>
  <c r="BO5" i="26" s="1"/>
  <c r="BN4" i="26" a="1"/>
  <c r="BN4" i="26" s="1"/>
  <c r="BO4" i="26" s="1"/>
  <c r="BK4" i="26"/>
  <c r="BV16" i="26" a="1"/>
  <c r="BV16" i="26" s="1"/>
  <c r="BV13" i="26" a="1"/>
  <c r="BV13" i="26" s="1"/>
  <c r="BV8" i="26" a="1"/>
  <c r="BV8" i="26" s="1"/>
  <c r="BV6" i="26" a="1"/>
  <c r="BV6" i="26" s="1"/>
  <c r="BV5" i="26" a="1"/>
  <c r="BV5" i="26" s="1"/>
  <c r="BV14" i="26" a="1"/>
  <c r="BV14" i="26" s="1"/>
  <c r="BV17" i="26" a="1"/>
  <c r="BV17" i="26" s="1"/>
  <c r="CG8" i="26"/>
  <c r="BV11" i="26" a="1"/>
  <c r="BV11" i="26" s="1"/>
  <c r="BL3" i="26" a="1"/>
  <c r="BL3" i="26" s="1"/>
  <c r="BO3" i="26"/>
  <c r="CL5" i="26"/>
  <c r="CG6" i="26"/>
  <c r="CG7" i="26"/>
  <c r="BV12" i="26" a="1"/>
  <c r="BV12" i="26" s="1"/>
  <c r="BV10" i="26" a="1"/>
  <c r="BV10" i="26" s="1"/>
  <c r="CN30" i="26" a="1"/>
  <c r="CN30" i="26" s="1"/>
  <c r="CN28" i="26" a="1"/>
  <c r="CN28" i="26" s="1"/>
  <c r="BV15" i="26" a="1"/>
  <c r="BV15" i="26" s="1"/>
  <c r="BV7" i="26" a="1"/>
  <c r="BV7" i="26" s="1"/>
  <c r="CM35" i="26"/>
  <c r="CM30" i="26"/>
  <c r="CM28" i="26"/>
  <c r="CN38" i="26" a="1"/>
  <c r="CN38" i="26" s="1"/>
  <c r="CM34" i="26"/>
  <c r="CN34" i="26" a="1"/>
  <c r="CN34" i="26" s="1"/>
  <c r="CN29" i="26" a="1"/>
  <c r="CN29" i="26" s="1"/>
  <c r="CM33" i="26"/>
  <c r="CN24" i="26" a="1"/>
  <c r="CN24" i="26" s="1"/>
  <c r="CM29" i="26"/>
  <c r="CN33" i="26" a="1"/>
  <c r="CN33" i="26" s="1"/>
  <c r="CM32" i="26"/>
  <c r="CN32" i="26" a="1"/>
  <c r="CN32" i="26" s="1"/>
  <c r="CM38" i="26"/>
  <c r="CM24" i="26"/>
  <c r="CN37" i="26" a="1"/>
  <c r="CN37" i="26" s="1"/>
  <c r="CN26" i="26" a="1"/>
  <c r="CN26" i="26" s="1"/>
  <c r="CM36" i="26"/>
  <c r="CM27" i="26"/>
  <c r="CM37" i="26"/>
  <c r="CN36" i="26" a="1"/>
  <c r="CN36" i="26" s="1"/>
  <c r="CN25" i="26" a="1"/>
  <c r="CN25" i="26" s="1"/>
  <c r="CM26" i="26"/>
  <c r="CM25" i="26"/>
  <c r="CN31" i="26" a="1"/>
  <c r="CN31" i="26" s="1"/>
  <c r="CN39" i="26" a="1"/>
  <c r="CN39" i="26" s="1"/>
  <c r="CN27" i="26" a="1"/>
  <c r="CN27" i="26" s="1"/>
  <c r="CM39" i="26"/>
  <c r="CM31" i="26"/>
  <c r="CN35" i="26" a="1"/>
  <c r="CN35" i="26" s="1"/>
  <c r="BK3" i="26"/>
  <c r="BL10" i="26" a="1"/>
  <c r="BL10" i="26" s="1"/>
  <c r="BO10" i="26"/>
  <c r="BK10" i="26"/>
  <c r="BO11" i="26"/>
  <c r="BK11" i="26"/>
  <c r="BL11" i="26" a="1"/>
  <c r="BL11" i="26" s="1"/>
  <c r="CG4" i="26"/>
  <c r="CG5" i="26"/>
  <c r="BK9" i="26"/>
  <c r="BO9" i="26"/>
  <c r="BL9" i="26" a="1"/>
  <c r="BL9" i="26" s="1"/>
  <c r="BK13" i="26"/>
  <c r="BO13" i="26"/>
  <c r="BL13" i="26" a="1"/>
  <c r="BL13" i="26" s="1"/>
  <c r="BO8" i="26"/>
  <c r="BL8" i="26" a="1"/>
  <c r="BL8" i="26" s="1"/>
  <c r="BK8" i="26"/>
  <c r="BK5" i="26"/>
  <c r="BM5" i="26" s="1"/>
  <c r="BK7" i="26"/>
  <c r="BO7" i="26"/>
  <c r="BL7" i="26" a="1"/>
  <c r="BL7" i="26" s="1"/>
  <c r="BL12" i="26" a="1"/>
  <c r="BL12" i="26" s="1"/>
  <c r="BK12" i="26"/>
  <c r="BO12" i="26"/>
  <c r="BO6" i="26"/>
  <c r="BL6" i="26" a="1"/>
  <c r="BL6" i="26" s="1"/>
  <c r="BK6" i="26"/>
  <c r="BK14" i="26"/>
  <c r="BL14" i="26" a="1"/>
  <c r="BL14" i="26" s="1"/>
  <c r="BM14" i="26" s="1"/>
  <c r="BO14" i="26"/>
  <c r="BL4" i="26" a="1"/>
  <c r="BL4" i="26" s="1"/>
  <c r="CP23" i="26"/>
  <c r="CL4" i="26"/>
  <c r="CK6" i="26"/>
  <c r="CK7" i="26"/>
  <c r="CG10" i="26"/>
  <c r="BM9" i="26" l="1"/>
  <c r="BM3" i="26"/>
  <c r="BM8" i="26"/>
  <c r="BM7" i="26"/>
  <c r="BM13" i="26"/>
  <c r="BM11" i="26"/>
  <c r="BM10" i="26"/>
  <c r="BM12" i="26"/>
  <c r="BM6" i="26"/>
  <c r="BM4" i="26"/>
  <c r="CK4" i="26" a="1"/>
  <c r="CK4" i="26" s="1"/>
  <c r="CN4" i="26" s="1"/>
  <c r="CL3" i="26"/>
  <c r="CK5" i="26" a="1"/>
  <c r="CK5" i="26" s="1"/>
  <c r="CN5" i="26" s="1"/>
  <c r="CK3" i="26" a="1"/>
  <c r="CK3" i="26" s="1"/>
  <c r="CH11" i="26"/>
  <c r="CG11" i="26"/>
  <c r="CN3" i="2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161F-A217-461A-A2E8-435F64B102B7}" keepAlive="1" name="Query - MensData" description="Connection to the 'MensData' query in the workbook." type="5" refreshedVersion="8" background="1" saveData="1">
    <dbPr connection="Provider=Microsoft.Mashup.OleDb.1;Data Source=$Workbook$;Location=MensData;Extended Properties=&quot;&quot;" command="SELECT * FROM [MensData]"/>
  </connection>
  <connection id="2" xr16:uid="{CDB9CCFD-9DD3-48B6-94E6-1995E1415EA6}" keepAlive="1" name="Query - MensData (2)" description="Connection to the 'MensData (2)' query in the workbook." type="5" refreshedVersion="8" background="1" saveData="1">
    <dbPr connection="Provider=Microsoft.Mashup.OleDb.1;Data Source=$Workbook$;Location=&quot;MensData (2)&quot;;Extended Properties=&quot;&quot;" command="SELECT * FROM [MensData (2)]"/>
  </connection>
  <connection id="3" xr16:uid="{1B187472-5ACE-48DD-AF55-CAED414FB4F1}" keepAlive="1" name="Query - MensData (3)" description="Connection to the 'MensData (3)' query in the workbook." type="5" refreshedVersion="0" background="1">
    <dbPr connection="Provider=Microsoft.Mashup.OleDb.1;Data Source=$Workbook$;Location=&quot;MensData (3)&quot;;Extended Properties=&quot;&quot;" command="SELECT * FROM [MensData (3)]"/>
  </connection>
  <connection id="4" xr16:uid="{36840CD7-1C35-4946-9779-083F070986FE}" keepAlive="1" name="Query - MensData (4)" description="Connection to the 'MensData (4)' query in the workbook." type="5" refreshedVersion="8" background="1" saveData="1">
    <dbPr connection="Provider=Microsoft.Mashup.OleDb.1;Data Source=$Workbook$;Location=&quot;MensData (4)&quot;;Extended Properties=&quot;&quot;" command="SELECT * FROM [MensData (4)]"/>
  </connection>
  <connection id="5" xr16:uid="{20E650E5-B089-4CE2-8EB1-1F39D690618C}" keepAlive="1" name="Query - Table31454893" description="Connection to the 'Table31454893' query in the workbook." type="5" refreshedVersion="8" background="1" saveData="1">
    <dbPr connection="Provider=Microsoft.Mashup.OleDb.1;Data Source=$Workbook$;Location=Table31454893;Extended Properties=&quot;&quot;" command="SELECT * FROM [Table31454893]"/>
  </connection>
  <connection id="6" xr16:uid="{14EF7BF5-56C9-44BA-AC4D-09C132D8ECAA}" keepAlive="1" name="Query - Table3147" description="Connection to the 'Table3147' query in the workbook." type="5" refreshedVersion="0" background="1" saveData="1">
    <dbPr connection="Provider=Microsoft.Mashup.OleDb.1;Data Source=$Workbook$;Location=Table3147;Extended Properties=&quot;&quot;" command="SELECT * FROM [Table3147]"/>
  </connection>
  <connection id="7" xr16:uid="{3F6B931A-3570-41F8-9A1E-CF73B27E0646}" keepAlive="1" name="Query - WomData" description="Connection to the 'WomData' query in the workbook." type="5" refreshedVersion="8" background="1" saveData="1">
    <dbPr connection="Provider=Microsoft.Mashup.OleDb.1;Data Source=$Workbook$;Location=WomData;Extended Properties=&quot;&quot;" command="SELECT * FROM [WomData]"/>
  </connection>
  <connection id="8" xr16:uid="{D5D376DF-C53E-4605-8AD9-A1A85C92914A}" keepAlive="1" name="Query - Womens" description="Connection to the 'Womens' query in the workbook." type="5" refreshedVersion="8" background="1" saveData="1">
    <dbPr connection="Provider=Microsoft.Mashup.OleDb.1;Data Source=$Workbook$;Location=Womens;Extended Properties=&quot;&quot;" command="SELECT * FROM [Women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<sst xmlns="http://schemas.openxmlformats.org/spreadsheetml/2006/main" count="3442" uniqueCount="180">
  <si>
    <t>Instagram</t>
  </si>
  <si>
    <t>X</t>
  </si>
  <si>
    <t>Metric</t>
  </si>
  <si>
    <t>Amount</t>
  </si>
  <si>
    <t>Reel and Post Views</t>
  </si>
  <si>
    <t>Interactions</t>
  </si>
  <si>
    <t>New Followers</t>
  </si>
  <si>
    <t>Profile Visits</t>
  </si>
  <si>
    <t>Followers</t>
  </si>
  <si>
    <t>Impressions</t>
  </si>
  <si>
    <t>Engagement rate</t>
  </si>
  <si>
    <t>Engagements</t>
  </si>
  <si>
    <t>Profile visits</t>
  </si>
  <si>
    <t>Replies</t>
  </si>
  <si>
    <t>Likes</t>
  </si>
  <si>
    <t>Reposts</t>
  </si>
  <si>
    <t>Bookmarks</t>
  </si>
  <si>
    <t>Shares</t>
  </si>
  <si>
    <t>Video Views</t>
  </si>
  <si>
    <t>TikTok</t>
  </si>
  <si>
    <t>Views</t>
  </si>
  <si>
    <t>Profile Views</t>
  </si>
  <si>
    <t>Comments</t>
  </si>
  <si>
    <t>New Viewers</t>
  </si>
  <si>
    <t>Threads</t>
  </si>
  <si>
    <t>Facebook</t>
  </si>
  <si>
    <t>Reach</t>
  </si>
  <si>
    <t>Contect interactions</t>
  </si>
  <si>
    <t>Follows</t>
  </si>
  <si>
    <t>LinkedIn</t>
  </si>
  <si>
    <t>Reactions</t>
  </si>
  <si>
    <t>Monthly Change</t>
  </si>
  <si>
    <t>December</t>
  </si>
  <si>
    <t xml:space="preserve"> November</t>
  </si>
  <si>
    <t xml:space="preserve"> October</t>
  </si>
  <si>
    <t xml:space="preserve"> September</t>
  </si>
  <si>
    <t xml:space="preserve"> August</t>
  </si>
  <si>
    <t>Month</t>
  </si>
  <si>
    <t>X - Followers</t>
  </si>
  <si>
    <t>X - Impressions</t>
  </si>
  <si>
    <t>X - Engagement rate</t>
  </si>
  <si>
    <t>X - Engagements</t>
  </si>
  <si>
    <t>X - Profile visits</t>
  </si>
  <si>
    <t>X - Replies</t>
  </si>
  <si>
    <t>X - Likes</t>
  </si>
  <si>
    <t>X - Reposts</t>
  </si>
  <si>
    <t>X - Bookmarks</t>
  </si>
  <si>
    <t>X - Shares</t>
  </si>
  <si>
    <t>X - Video Views</t>
  </si>
  <si>
    <t>TT - Views</t>
  </si>
  <si>
    <t>TT -Profile Views</t>
  </si>
  <si>
    <t>TT - Likes</t>
  </si>
  <si>
    <t>TT - Comments</t>
  </si>
  <si>
    <t>TT - Shares</t>
  </si>
  <si>
    <t>TT - New Viewers</t>
  </si>
  <si>
    <t>IG - Reel and Post Views</t>
  </si>
  <si>
    <t>IG - Interactions</t>
  </si>
  <si>
    <t>IG - New Followers</t>
  </si>
  <si>
    <t>IG - Profile Visits</t>
  </si>
  <si>
    <t>THREADS - Views</t>
  </si>
  <si>
    <t>THREADS - Interactions</t>
  </si>
  <si>
    <t>FB - Views</t>
  </si>
  <si>
    <t>FB - Reach</t>
  </si>
  <si>
    <t>FB - Contect interactions</t>
  </si>
  <si>
    <t>FB - Follows</t>
  </si>
  <si>
    <t>LINKEDIN - Impressions</t>
  </si>
  <si>
    <t>LINKEDIN - Reactions</t>
  </si>
  <si>
    <t>LINKEDIN - Comments</t>
  </si>
  <si>
    <t>Percentage difference tables</t>
  </si>
  <si>
    <t>July</t>
  </si>
  <si>
    <t>June</t>
  </si>
  <si>
    <t>Raw Data Table</t>
  </si>
  <si>
    <t>Row Labels</t>
  </si>
  <si>
    <t>Grand Total</t>
  </si>
  <si>
    <t>Value</t>
  </si>
  <si>
    <t>MENS</t>
  </si>
  <si>
    <t>$</t>
  </si>
  <si>
    <t>May-26</t>
  </si>
  <si>
    <t>Jun-26</t>
  </si>
  <si>
    <t>January</t>
  </si>
  <si>
    <t>February</t>
  </si>
  <si>
    <t>March</t>
  </si>
  <si>
    <t>April</t>
  </si>
  <si>
    <t>May</t>
  </si>
  <si>
    <t>May-27</t>
  </si>
  <si>
    <t>Jun-27</t>
  </si>
  <si>
    <t>Jul-26</t>
  </si>
  <si>
    <t>Aug-26</t>
  </si>
  <si>
    <t>Sep-26</t>
  </si>
  <si>
    <t>Oct-26</t>
  </si>
  <si>
    <t>Nov-26</t>
  </si>
  <si>
    <t>Dec-26</t>
  </si>
  <si>
    <t>Jan-27</t>
  </si>
  <si>
    <t>Feb-27</t>
  </si>
  <si>
    <t>Mar-27</t>
  </si>
  <si>
    <t>Apr-27</t>
  </si>
  <si>
    <t>Max. of Value</t>
  </si>
  <si>
    <t>Each media channel is listed down the side</t>
  </si>
  <si>
    <t>Green indicates an increase, Red indicates a decrease and the value is the raw amount</t>
  </si>
  <si>
    <t>There you can see the monthly change on the previous month</t>
  </si>
  <si>
    <t>Select the 'Dynamic Graphs' sheet from the bottom pannel</t>
  </si>
  <si>
    <t>Here there will be a few tables: the green table is raw data, blue is filtered</t>
  </si>
  <si>
    <t>On the right are 3 charts that will change based on the next steps</t>
  </si>
  <si>
    <t>Understanding the tab:</t>
  </si>
  <si>
    <t>Raj Singh (2026)</t>
  </si>
  <si>
    <t>Firstly, a graph will only be correctly generated if the data in step 1 ("Data") is correct and up to date</t>
  </si>
  <si>
    <t>Once the "Data" tab is complete - make sure you are working in the "Dynamic Graphs" sheet</t>
  </si>
  <si>
    <t>NOTE: LEAVE cells that haven't got a value e.g., next months as 0, NOT BLANK - this is to avoid errors and also create better charts</t>
  </si>
  <si>
    <t>Right click anywhere in the GREEN table, then press "Refresh"  - this is to ensure the data is up to date</t>
  </si>
  <si>
    <t>IF YOU CAN'T DO THAT - click normally anywhere in the GREEN table --&gt; "Table Design" at the top --&gt; Refresh</t>
  </si>
  <si>
    <t>Then, Right click anywhere in the BLUE table, then press "Refresh"  - this ensures the blue matches the green</t>
  </si>
  <si>
    <t>Preparing the Data for a graph:</t>
  </si>
  <si>
    <t>Making the graphs:</t>
  </si>
  <si>
    <t>Now after steps 3.1 and 3.2, the graphs can be made easily</t>
  </si>
  <si>
    <t>There is a 'slicer' which looks like a TV channel guide inbetween the BLUE table and the bar chart</t>
  </si>
  <si>
    <t>Scroll down and click whichever metric you would like to display</t>
  </si>
  <si>
    <t>The 3 charts should then update accordingly</t>
  </si>
  <si>
    <t>COLOUR/ BARS - click once on any bar or line in the chart --&gt; "Design" at the top --&gt; play around with the colour changes</t>
  </si>
  <si>
    <t>ADDED EXTRAS - Click anywhere on the white box of a chart --&gt; at the top right there will be a green PLUS and a blue PAINTBRUSH --&gt; these features can add extras that may be useful</t>
  </si>
  <si>
    <t>Reading the simplified charts:</t>
  </si>
  <si>
    <t>Changing the graph appearance:</t>
  </si>
  <si>
    <t>TITLE/ AXIS LABEL - click once where it says "CHANGE TITLE NAME" or "Axis Title" and then drag your cursor so the text is selected, then type in the title you want</t>
  </si>
  <si>
    <t>Sum of Value</t>
  </si>
  <si>
    <t>SOCIAL MEDIA ANALYTICS DASHBOARD</t>
  </si>
  <si>
    <t>SEASON: 2026/27</t>
  </si>
  <si>
    <t>Prepared by : Raj Singh</t>
  </si>
  <si>
    <t>Prepared for : XXXXXXXX</t>
  </si>
  <si>
    <t>Season 2026/27</t>
  </si>
  <si>
    <t>Last Updated</t>
  </si>
  <si>
    <t>Current Month</t>
  </si>
  <si>
    <t>Platform</t>
  </si>
  <si>
    <t>Helper</t>
  </si>
  <si>
    <t>Card Title</t>
  </si>
  <si>
    <t>Growth</t>
  </si>
  <si>
    <t>Growth Display</t>
  </si>
  <si>
    <t>Linkedin</t>
  </si>
  <si>
    <t>Primary Chart Metric</t>
  </si>
  <si>
    <t>Chart 1</t>
  </si>
  <si>
    <t>Chart 2</t>
  </si>
  <si>
    <t>Chart 3 (BR)</t>
  </si>
  <si>
    <t>Bottom Left</t>
  </si>
  <si>
    <t>Highest KPI:</t>
  </si>
  <si>
    <t>Largest Increase:</t>
  </si>
  <si>
    <t>Largest Decrease:</t>
  </si>
  <si>
    <t>KPIs Improving:</t>
  </si>
  <si>
    <t>KPIs Declining:</t>
  </si>
  <si>
    <t>Selected Month Value:</t>
  </si>
  <si>
    <t>Selected Month:</t>
  </si>
  <si>
    <t>Monthly Average:</t>
  </si>
  <si>
    <t>Lowest Value:</t>
  </si>
  <si>
    <t>Lowest Month:</t>
  </si>
  <si>
    <t>Peak Value:</t>
  </si>
  <si>
    <t>Peak Month:</t>
  </si>
  <si>
    <t>Performance vs Avg:</t>
  </si>
  <si>
    <t>Social Media Performance Dashboard</t>
  </si>
  <si>
    <t>Platform ▼</t>
  </si>
  <si>
    <t>Metric ▼</t>
  </si>
  <si>
    <t>Month ▼</t>
  </si>
  <si>
    <t>FOR RAJ USE - LINKED/ CODED CELLS</t>
  </si>
  <si>
    <t>Display Val</t>
  </si>
  <si>
    <t>** Dynamic Graphs</t>
  </si>
  <si>
    <t>a)</t>
  </si>
  <si>
    <t>b)</t>
  </si>
  <si>
    <t>c)</t>
  </si>
  <si>
    <t xml:space="preserve">d) </t>
  </si>
  <si>
    <t>*  Manipulated Data</t>
  </si>
  <si>
    <t>Find the corresponding month highlighted in yellow at the top</t>
  </si>
  <si>
    <t>Dashboard Version</t>
  </si>
  <si>
    <t>v1.0</t>
  </si>
  <si>
    <t xml:space="preserve">Prepared for: </t>
  </si>
  <si>
    <t>XXXXX</t>
  </si>
  <si>
    <t>Prepared by:</t>
  </si>
  <si>
    <t>Raj Singh</t>
  </si>
  <si>
    <t>APPENDIX</t>
  </si>
  <si>
    <t>Version 1.2 (July 2026)</t>
  </si>
  <si>
    <t>Select the 'Processed Data' sheet from the panel below</t>
  </si>
  <si>
    <t>WOMENS</t>
  </si>
  <si>
    <t>© 2026 Raj Singh. This dashboard and its design may not be reproduced, distributed or modified without permission.</t>
  </si>
  <si>
    <t>TT - Profile Views</t>
  </si>
  <si>
    <t>Last Updated: 31/07/2026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</si>
</sst>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8"/>
      <name val="Aptos Narrow"/>
      <family val="2"/>
      <scheme val="minor"/>
    </font>
    <font>
      <sz val="11"/>
      <color theme="1"/>
      <name val="Segoe UI"/>
      <family val="2"/>
    </font>
    <font>
      <b/>
      <u/>
      <sz val="11"/>
      <name val="Segoe UI"/>
      <family val="2"/>
    </font>
    <font>
      <b/>
      <sz val="11"/>
      <color theme="1"/>
      <name val="Segoe UI"/>
      <family val="2"/>
    </font>
    <font>
      <sz val="16"/>
      <color theme="1"/>
      <name val="Aptos Narrow"/>
      <family val="2"/>
      <scheme val="minor"/>
    </font>
    <font>
      <sz val="12"/>
      <color theme="2" tint="-0.499984740745262"/>
      <name val="Segoe UI"/>
      <family val="2"/>
    </font>
    <font>
      <sz val="10"/>
      <color theme="1"/>
      <name val="Arial Unicode MS"/>
    </font>
    <font>
      <b/>
      <u/>
      <sz val="18"/>
      <color theme="3"/>
      <name val="Segoe UI"/>
      <family val="2"/>
    </font>
    <font>
      <b/>
      <sz val="12"/>
      <name val="Segoe UI"/>
      <family val="2"/>
    </font>
    <font>
      <b/>
      <sz val="12"/>
      <color theme="1"/>
      <name val="Segoe UI"/>
      <family val="2"/>
    </font>
    <font>
      <b/>
      <sz val="18"/>
      <color theme="1"/>
      <name val="Segoe UI"/>
      <family val="2"/>
    </font>
    <font>
      <sz val="11"/>
      <color theme="1"/>
      <name val="Segoe UI"/>
      <family val="2"/>
    </font>
  </fonts>
  <fills count="11">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F5F7FA"/>
        <bgColor indexed="64"/>
      </patternFill>
    </fill>
    <fill>
      <patternFill patternType="solid">
        <fgColor theme="0"/>
        <bgColor indexed="64"/>
      </patternFill>
    </fill>
    <fill>
      <patternFill patternType="solid">
        <fgColor theme="4" tint="0.79998168889431442"/>
        <bgColor indexed="64"/>
      </patternFill>
    </fill>
  </fills>
  <borders count="3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87878"/>
      </left>
      <right style="thin">
        <color rgb="FF787878"/>
      </right>
      <top style="thin">
        <color rgb="FF787878"/>
      </top>
      <bottom style="thin">
        <color rgb="FF787878"/>
      </bottom>
      <diagonal/>
    </border>
    <border>
      <left style="thin">
        <color rgb="FF787878"/>
      </left>
      <right/>
      <top style="thin">
        <color rgb="FF787878"/>
      </top>
      <bottom/>
      <diagonal/>
    </border>
    <border>
      <left/>
      <right style="thin">
        <color rgb="FF787878"/>
      </right>
      <top style="thin">
        <color rgb="FF787878"/>
      </top>
      <bottom/>
      <diagonal/>
    </border>
    <border>
      <left style="thin">
        <color rgb="FF787878"/>
      </left>
      <right/>
      <top/>
      <bottom style="thin">
        <color rgb="FF787878"/>
      </bottom>
      <diagonal/>
    </border>
    <border>
      <left/>
      <right style="thin">
        <color rgb="FF787878"/>
      </right>
      <top/>
      <bottom style="thin">
        <color rgb="FF787878"/>
      </bottom>
      <diagonal/>
    </border>
    <border>
      <left style="thin">
        <color rgb="FF787878"/>
      </left>
      <right style="thin">
        <color rgb="FF787878"/>
      </right>
      <top style="thin">
        <color rgb="FF787878"/>
      </top>
      <bottom/>
      <diagonal/>
    </border>
    <border>
      <left style="thin">
        <color rgb="FF787878"/>
      </left>
      <right style="thin">
        <color rgb="FF787878"/>
      </right>
      <top/>
      <bottom style="thin">
        <color rgb="FF787878"/>
      </bottom>
      <diagonal/>
    </border>
    <border>
      <left/>
      <right/>
      <top style="thin">
        <color rgb="FF787878"/>
      </top>
      <bottom/>
      <diagonal/>
    </border>
    <border>
      <left style="thin">
        <color rgb="FF787878"/>
      </left>
      <right/>
      <top/>
      <bottom/>
      <diagonal/>
    </border>
    <border>
      <left/>
      <right style="thin">
        <color rgb="FF787878"/>
      </right>
      <top/>
      <bottom/>
      <diagonal/>
    </border>
    <border>
      <left/>
      <right/>
      <top/>
      <bottom style="thin">
        <color rgb="FF787878"/>
      </bottom>
      <diagonal/>
    </border>
    <border>
      <left/>
      <right/>
      <top/>
      <bottom style="medium">
        <color rgb="FF787878"/>
      </bottom>
      <diagonal/>
    </border>
  </borders>
  <cellStyleXfs count="1">
    <xf numFmtId="0" fontId="0" fillId="0" borderId="0"/>
  </cellStyleXfs>
  <cellXfs count="97">
    <xf numFmtId="0" fontId="0" fillId="0" borderId="0" xfId="0"/>
    <xf numFmtId="0" fontId="2" fillId="0" borderId="0" xfId="0" applyFont="1"/>
    <xf numFmtId="0" fontId="4" fillId="5" borderId="0" xfId="0" applyFont="1" applyFill="1"/>
    <xf numFmtId="0" fontId="2" fillId="5" borderId="0" xfId="0" applyFont="1" applyFill="1"/>
    <xf numFmtId="0" fontId="2" fillId="0" borderId="0" xfId="0" pivotButton="1" applyFont="1"/>
    <xf numFmtId="0" fontId="2" fillId="0" borderId="0" xfId="0" applyFont="1" applyAlignment="1">
      <alignment horizontal="left"/>
    </xf>
    <xf numFmtId="0" fontId="2" fillId="2" borderId="0" xfId="0" applyFont="1" applyFill="1"/>
    <xf numFmtId="0" fontId="2" fillId="7" borderId="0" xfId="0" applyFont="1" applyFill="1"/>
    <xf numFmtId="0" fontId="2" fillId="7" borderId="0" xfId="0" applyFont="1" applyFill="1" applyAlignment="1">
      <alignment horizontal="center"/>
    </xf>
    <xf numFmtId="17" fontId="2" fillId="0" borderId="0" xfId="0" applyNumberFormat="1" applyFont="1"/>
    <xf numFmtId="3" fontId="2" fillId="0" borderId="0" xfId="0" applyNumberFormat="1" applyFont="1"/>
    <xf numFmtId="10" fontId="2" fillId="4" borderId="0" xfId="0" applyNumberFormat="1" applyFont="1" applyFill="1"/>
    <xf numFmtId="10" fontId="2" fillId="0" borderId="0" xfId="0" applyNumberFormat="1" applyFont="1"/>
    <xf numFmtId="9" fontId="2" fillId="0" borderId="0" xfId="0" applyNumberFormat="1" applyFont="1"/>
    <xf numFmtId="0" fontId="2" fillId="8" borderId="0" xfId="0" applyFont="1" applyFill="1"/>
    <xf numFmtId="10" fontId="0" fillId="0" borderId="0" xfId="0" applyNumberFormat="1"/>
    <xf numFmtId="0" fontId="7" fillId="0" borderId="0" xfId="0" applyFont="1" applyAlignment="1">
      <alignment vertical="center"/>
    </xf>
    <xf numFmtId="0" fontId="6" fillId="8" borderId="0" xfId="0" applyFont="1" applyFill="1"/>
    <xf numFmtId="17" fontId="7" fillId="0" borderId="0" xfId="0" applyNumberFormat="1" applyFont="1" applyAlignment="1">
      <alignment vertical="center"/>
    </xf>
    <xf numFmtId="10" fontId="7" fillId="0" borderId="0" xfId="0" applyNumberFormat="1" applyFont="1" applyAlignment="1">
      <alignment vertical="center"/>
    </xf>
    <xf numFmtId="0" fontId="2" fillId="8" borderId="12" xfId="0" applyFont="1" applyFill="1" applyBorder="1" applyAlignment="1">
      <alignment horizontal="center" vertical="center"/>
    </xf>
    <xf numFmtId="0" fontId="2" fillId="3" borderId="0" xfId="0" applyFont="1" applyFill="1"/>
    <xf numFmtId="0" fontId="2" fillId="8" borderId="13" xfId="0" applyFont="1" applyFill="1" applyBorder="1"/>
    <xf numFmtId="0" fontId="2" fillId="8" borderId="14" xfId="0" applyFont="1" applyFill="1" applyBorder="1"/>
    <xf numFmtId="0" fontId="2" fillId="8" borderId="15" xfId="0" applyFont="1" applyFill="1" applyBorder="1"/>
    <xf numFmtId="0" fontId="2" fillId="8" borderId="16" xfId="0" applyFont="1" applyFill="1" applyBorder="1"/>
    <xf numFmtId="0" fontId="2" fillId="8" borderId="17" xfId="0" applyFont="1" applyFill="1" applyBorder="1"/>
    <xf numFmtId="0" fontId="2" fillId="8" borderId="18" xfId="0" applyFont="1" applyFill="1" applyBorder="1"/>
    <xf numFmtId="0" fontId="2" fillId="8" borderId="19" xfId="0" applyFont="1" applyFill="1" applyBorder="1"/>
    <xf numFmtId="0" fontId="8" fillId="8" borderId="14" xfId="0" applyFont="1" applyFill="1" applyBorder="1"/>
    <xf numFmtId="3" fontId="0" fillId="0" borderId="0" xfId="0" applyNumberFormat="1"/>
    <xf numFmtId="3" fontId="7" fillId="0" borderId="0" xfId="0" applyNumberFormat="1" applyFont="1" applyAlignment="1">
      <alignment vertical="center"/>
    </xf>
    <xf numFmtId="0" fontId="9" fillId="5" borderId="20" xfId="0" applyFont="1" applyFill="1" applyBorder="1" applyAlignment="1">
      <alignment horizontal="center" vertical="center"/>
    </xf>
    <xf numFmtId="0" fontId="10" fillId="5" borderId="20" xfId="0" applyFont="1" applyFill="1" applyBorder="1"/>
    <xf numFmtId="0" fontId="10" fillId="5" borderId="21" xfId="0" applyFont="1" applyFill="1" applyBorder="1" applyAlignment="1">
      <alignment horizontal="center" vertical="center"/>
    </xf>
    <xf numFmtId="0" fontId="10" fillId="5" borderId="22" xfId="0" applyFont="1" applyFill="1" applyBorder="1" applyAlignment="1">
      <alignment horizontal="center" vertical="center"/>
    </xf>
    <xf numFmtId="0" fontId="10" fillId="5" borderId="25" xfId="0" applyFont="1" applyFill="1" applyBorder="1" applyAlignment="1">
      <alignment horizontal="center" vertical="center"/>
    </xf>
    <xf numFmtId="0" fontId="2" fillId="9" borderId="0" xfId="0" applyFont="1" applyFill="1"/>
    <xf numFmtId="0" fontId="2" fillId="10" borderId="21" xfId="0" applyFont="1" applyFill="1" applyBorder="1"/>
    <xf numFmtId="0" fontId="2" fillId="10" borderId="27" xfId="0" applyFont="1" applyFill="1" applyBorder="1"/>
    <xf numFmtId="0" fontId="2" fillId="10" borderId="28" xfId="0" applyFont="1" applyFill="1" applyBorder="1"/>
    <xf numFmtId="0" fontId="2" fillId="10" borderId="0" xfId="0" applyFont="1" applyFill="1"/>
    <xf numFmtId="0" fontId="2" fillId="10" borderId="29" xfId="0" applyFont="1" applyFill="1" applyBorder="1"/>
    <xf numFmtId="0" fontId="2" fillId="10" borderId="23" xfId="0" applyFont="1" applyFill="1" applyBorder="1"/>
    <xf numFmtId="0" fontId="2" fillId="10" borderId="30" xfId="0" applyFont="1" applyFill="1" applyBorder="1"/>
    <xf numFmtId="0" fontId="2" fillId="10" borderId="24" xfId="0" applyFont="1" applyFill="1" applyBorder="1"/>
    <xf numFmtId="0" fontId="2" fillId="10" borderId="21" xfId="0" applyFont="1" applyFill="1" applyBorder="1" applyAlignment="1">
      <alignment horizontal="center" vertical="center"/>
    </xf>
    <xf numFmtId="0" fontId="2" fillId="10" borderId="22" xfId="0" applyFont="1" applyFill="1" applyBorder="1" applyAlignment="1">
      <alignment horizontal="center" vertical="center"/>
    </xf>
    <xf numFmtId="0" fontId="2" fillId="10" borderId="28" xfId="0" applyFont="1" applyFill="1" applyBorder="1" applyAlignment="1">
      <alignment horizontal="center" vertical="center"/>
    </xf>
    <xf numFmtId="0" fontId="2" fillId="10" borderId="29" xfId="0" applyFont="1" applyFill="1" applyBorder="1" applyAlignment="1">
      <alignment horizontal="center" vertical="center"/>
    </xf>
    <xf numFmtId="0" fontId="2" fillId="10" borderId="23" xfId="0" applyFont="1" applyFill="1" applyBorder="1" applyAlignment="1">
      <alignment horizontal="center" vertical="center"/>
    </xf>
    <xf numFmtId="0" fontId="2" fillId="10" borderId="24" xfId="0" applyFont="1" applyFill="1" applyBorder="1" applyAlignment="1">
      <alignment horizontal="center" vertical="center"/>
    </xf>
    <xf numFmtId="0" fontId="3" fillId="0" borderId="0" xfId="0" applyFont="1"/>
    <xf numFmtId="0" fontId="0" fillId="6" borderId="4" xfId="0" applyFill="1" applyBorder="1"/>
    <xf numFmtId="0" fontId="0" fillId="6" borderId="5" xfId="0" applyFill="1" applyBorder="1"/>
    <xf numFmtId="0" fontId="0" fillId="6" borderId="6" xfId="0" applyFill="1" applyBorder="1"/>
    <xf numFmtId="0" fontId="0" fillId="6" borderId="7" xfId="0" applyFill="1" applyBorder="1"/>
    <xf numFmtId="0" fontId="0" fillId="6" borderId="0" xfId="0" applyFill="1"/>
    <xf numFmtId="0" fontId="0" fillId="6" borderId="8" xfId="0" applyFill="1" applyBorder="1"/>
    <xf numFmtId="0" fontId="0" fillId="6" borderId="9" xfId="0" applyFill="1" applyBorder="1"/>
    <xf numFmtId="0" fontId="0" fillId="6" borderId="10" xfId="0" applyFill="1" applyBorder="1"/>
    <xf numFmtId="0" fontId="4" fillId="6" borderId="20" xfId="0" applyFont="1" applyFill="1" applyBorder="1" applyAlignment="1" applyProtection="1">
      <alignment horizontal="center" vertical="center"/>
      <protection locked="0"/>
    </xf>
    <xf numFmtId="0" fontId="10" fillId="6" borderId="24" xfId="0" applyFont="1" applyFill="1" applyBorder="1" applyAlignment="1" applyProtection="1">
      <alignment horizontal="center" vertical="center"/>
      <protection locked="0"/>
    </xf>
    <xf numFmtId="0" fontId="10" fillId="6" borderId="23" xfId="0" applyFont="1" applyFill="1" applyBorder="1" applyAlignment="1" applyProtection="1">
      <alignment horizontal="center" vertical="center"/>
      <protection locked="0"/>
    </xf>
    <xf numFmtId="0" fontId="10" fillId="6" borderId="20" xfId="0" applyFont="1" applyFill="1" applyBorder="1" applyProtection="1">
      <protection locked="0"/>
    </xf>
    <xf numFmtId="17" fontId="10" fillId="6" borderId="20" xfId="0" applyNumberFormat="1" applyFont="1" applyFill="1" applyBorder="1" applyProtection="1">
      <protection locked="0"/>
    </xf>
    <xf numFmtId="17" fontId="2" fillId="8" borderId="12" xfId="0" applyNumberFormat="1" applyFont="1" applyFill="1" applyBorder="1" applyAlignment="1" applyProtection="1">
      <alignment horizontal="center" vertical="center"/>
      <protection locked="0"/>
    </xf>
    <xf numFmtId="0" fontId="10" fillId="6" borderId="26" xfId="0" applyFont="1" applyFill="1" applyBorder="1" applyAlignment="1" applyProtection="1">
      <alignment horizontal="center" vertical="center"/>
      <protection locked="0"/>
    </xf>
    <xf numFmtId="3" fontId="0" fillId="0" borderId="0" xfId="0" applyNumberFormat="1" applyProtection="1">
      <protection locked="0"/>
    </xf>
    <xf numFmtId="10" fontId="0" fillId="0" borderId="0" xfId="0" applyNumberFormat="1" applyProtection="1">
      <protection locked="0"/>
    </xf>
    <xf numFmtId="0" fontId="0" fillId="6" borderId="0" xfId="0" applyFill="1" applyProtection="1">
      <protection locked="0"/>
    </xf>
    <xf numFmtId="3" fontId="0" fillId="0" borderId="0" xfId="0" quotePrefix="1" applyNumberFormat="1" applyProtection="1">
      <protection locked="0"/>
    </xf>
    <xf numFmtId="0" fontId="2" fillId="0" borderId="8" xfId="0" applyFont="1" applyBorder="1"/>
    <xf numFmtId="3" fontId="2" fillId="0" borderId="0" xfId="0" applyNumberFormat="1" applyFont="1" applyProtection="1">
      <protection locked="0"/>
    </xf>
    <xf numFmtId="0" fontId="2" fillId="0" borderId="0" xfId="0" applyFont="1" applyProtection="1">
      <protection locked="0"/>
    </xf>
    <xf numFmtId="0" fontId="2" fillId="2" borderId="0" xfId="0" applyFont="1" applyFill="1" applyAlignment="1" applyProtection="1">
      <alignment horizontal="center"/>
      <protection locked="0"/>
    </xf>
    <xf numFmtId="10" fontId="2" fillId="0" borderId="0" xfId="0" applyNumberFormat="1" applyFont="1" applyProtection="1">
      <protection locked="0"/>
    </xf>
    <xf numFmtId="9" fontId="2" fillId="0" borderId="0" xfId="0" applyNumberFormat="1" applyFont="1" applyProtection="1">
      <protection locked="0"/>
    </xf>
    <xf numFmtId="17" fontId="2" fillId="8" borderId="12" xfId="0" applyNumberFormat="1" applyFont="1" applyFill="1" applyBorder="1" applyAlignment="1">
      <alignment horizontal="center" vertical="center"/>
    </xf>
    <xf numFmtId="0" fontId="12" fillId="0" borderId="0" xfId="0" pivotButton="1" applyFont="1" applyProtection="1">
      <protection locked="0"/>
    </xf>
    <xf numFmtId="0" fontId="12" fillId="0" borderId="0" xfId="0" applyFont="1" applyProtection="1">
      <protection locked="0"/>
    </xf>
    <xf numFmtId="0" fontId="12" fillId="0" borderId="0" xfId="0" applyFont="1" applyAlignment="1" applyProtection="1">
      <alignment horizontal="left"/>
      <protection locked="0"/>
    </xf>
    <xf numFmtId="0" fontId="2" fillId="9" borderId="0" xfId="0" applyFont="1" applyFill="1" applyAlignment="1">
      <alignment horizontal="center"/>
    </xf>
    <xf numFmtId="0" fontId="3" fillId="10" borderId="0" xfId="0" applyFont="1" applyFill="1" applyAlignment="1">
      <alignment horizontal="center"/>
    </xf>
    <xf numFmtId="0" fontId="11" fillId="0" borderId="31" xfId="0" applyFont="1" applyBorder="1" applyAlignment="1">
      <alignment horizontal="center"/>
    </xf>
    <xf numFmtId="0" fontId="5" fillId="6" borderId="0" xfId="0" applyFont="1" applyFill="1" applyAlignment="1">
      <alignment horizontal="center"/>
    </xf>
    <xf numFmtId="0" fontId="0" fillId="6" borderId="0" xfId="0" applyFill="1" applyAlignment="1" applyProtection="1">
      <alignment horizontal="center"/>
      <protection locked="0"/>
    </xf>
    <xf numFmtId="0" fontId="0" fillId="6" borderId="0" xfId="0" applyFill="1" applyAlignment="1">
      <alignment horizontal="center"/>
    </xf>
    <xf numFmtId="0" fontId="0" fillId="6" borderId="8" xfId="0" applyFill="1" applyBorder="1" applyAlignment="1">
      <alignment horizontal="center"/>
    </xf>
    <xf numFmtId="0" fontId="0" fillId="6" borderId="10"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2" fillId="2" borderId="0" xfId="0" applyFont="1" applyFill="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17" fontId="2" fillId="2" borderId="0" xfId="0" applyNumberFormat="1" applyFont="1" applyFill="1" applyAlignment="1">
      <alignment horizontal="center"/>
    </xf>
    <xf numFmtId="0" fontId="2" fillId="2" borderId="0" xfId="0" applyFont="1" applyFill="1" applyAlignment="1" applyProtection="1">
      <alignment horizontal="center"/>
      <protection locked="0"/>
    </xf>
  </cellXfs>
  <cellStyles count="1">
    <cellStyle name="Normal" xfId="0" builtinId="0"/>
  </cellStyles>
  <dxfs count="877">
    <dxf>
      <font>
        <b/>
        <i val="0"/>
        <color theme="6"/>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0" formatCode="General"/>
    </dxf>
    <dxf>
      <font>
        <strike val="0"/>
        <outline val="0"/>
        <shadow val="0"/>
        <u val="none"/>
        <vertAlign val="baseline"/>
        <sz val="11"/>
        <color theme="1"/>
        <name val="Segoe UI"/>
        <family val="2"/>
        <scheme val="none"/>
      </font>
      <numFmt numFmtId="0" formatCode="General"/>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4" formatCode="0.0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1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fill>
        <patternFill patternType="solid">
          <fgColor indexed="64"/>
          <bgColor theme="2" tint="-9.9978637043366805E-2"/>
        </patternFill>
      </fill>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22" formatCode="mmm\-yy"/>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22" formatCode="mmm\-yy"/>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0" formatCode="General"/>
      <protection locked="0" hidden="0"/>
    </dxf>
    <dxf>
      <font>
        <strike val="0"/>
        <outline val="0"/>
        <shadow val="0"/>
        <u val="none"/>
        <vertAlign val="baseline"/>
        <sz val="11"/>
        <color theme="1"/>
        <name val="Segoe UI"/>
        <family val="2"/>
        <scheme val="none"/>
      </font>
      <numFmt numFmtId="0" formatCode="General"/>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protection locked="0"/>
    </dxf>
    <dxf>
      <protection locked="0"/>
    </dxf>
    <dxf>
      <protection locked="0"/>
    </dxf>
    <dxf>
      <protection locked="0"/>
    </dxf>
    <dxf>
      <protection locked="0"/>
    </dxf>
    <dxf>
      <protection locked="0"/>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3" formatCode="0%"/>
    </dxf>
    <dxf>
      <font>
        <strike val="0"/>
        <outline val="0"/>
        <shadow val="0"/>
        <u val="none"/>
        <vertAlign val="baseline"/>
        <sz val="11"/>
        <color theme="1"/>
        <name val="Segoe UI"/>
        <family val="2"/>
        <scheme val="none"/>
      </font>
      <numFmt numFmtId="3" formatCode="#,##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numFmt numFmtId="14" formatCode="0.00%"/>
      <fill>
        <patternFill patternType="solid">
          <fgColor indexed="64"/>
          <bgColor theme="2" tint="-9.9978637043366805E-2"/>
        </patternFill>
      </fill>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22" formatCode="mmm\-yy"/>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numFmt numFmtId="3" formatCode="#,##0"/>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protection locked="0" hidden="0"/>
    </dxf>
    <dxf>
      <font>
        <strike val="0"/>
        <outline val="0"/>
        <shadow val="0"/>
        <u val="none"/>
        <vertAlign val="baseline"/>
        <sz val="11"/>
        <color theme="1"/>
        <name val="Segoe UI"/>
        <family val="2"/>
        <scheme val="none"/>
      </font>
      <border diagonalUp="0" diagonalDown="0">
        <left/>
        <right style="thin">
          <color indexed="64"/>
        </right>
        <top/>
        <bottom/>
        <vertical/>
        <horizontal/>
      </border>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22" formatCode="mmm\-yy"/>
    </dxf>
  </dxfs>
  <tableStyles count="0" defaultTableStyle="TableStyleMedium2" defaultPivotStyle="PivotStyleLight16"/>
  <colors>
    <mruColors>
      <color rgb="FFF5F7FA"/>
      <color rgb="FF78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Dashboard!$BS$4</c:f>
          <c:strCache>
            <c:ptCount val="1"/>
            <c:pt idx="0">
              <c:v>Threads - Views Trend</c:v>
            </c:pt>
          </c:strCache>
        </c:strRef>
      </c:tx>
      <c:layout>
        <c:manualLayout>
          <c:xMode val="edge"/>
          <c:yMode val="edge"/>
          <c:x val="0.360228455170154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1209729023582966E-2"/>
          <c:y val="0.20511743790045123"/>
          <c:w val="0.88581367584702153"/>
          <c:h val="0.49346515431202354"/>
        </c:manualLayout>
      </c:layout>
      <c:lineChart>
        <c:grouping val="standard"/>
        <c:varyColors val="0"/>
        <c:ser>
          <c:idx val="0"/>
          <c:order val="0"/>
          <c:tx>
            <c:strRef>
              <c:f>Dashboard!$BV$3</c:f>
              <c:strCache>
                <c:ptCount val="1"/>
                <c:pt idx="0">
                  <c:v>Value</c:v>
                </c:pt>
              </c:strCache>
            </c:strRef>
          </c:tx>
          <c:spPr>
            <a:ln w="28575" cap="rnd">
              <a:solidFill>
                <a:schemeClr val="accent1"/>
              </a:solidFill>
              <a:round/>
            </a:ln>
            <a:effectLst/>
          </c:spPr>
          <c:marker>
            <c:symbol val="circle"/>
            <c:size val="5"/>
            <c:spPr>
              <a:solidFill>
                <a:schemeClr val="accent1"/>
              </a:solidFill>
              <a:ln w="28575">
                <a:solidFill>
                  <a:schemeClr val="accent1"/>
                </a:solidFill>
              </a:ln>
              <a:effectLst/>
            </c:spPr>
          </c:marker>
          <c:cat>
            <c:strRef>
              <c:f>Dashboard!$BU$4:$BU$17</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Dashboard!$BV$4:$BV$17</c:f>
              <c:numCache>
                <c:formatCode>#,##0</c:formatCode>
                <c:ptCount val="14"/>
                <c:pt idx="0">
                  <c:v>17600</c:v>
                </c:pt>
                <c:pt idx="1">
                  <c:v>32400</c:v>
                </c:pt>
                <c:pt idx="2">
                  <c:v>17000</c:v>
                </c:pt>
                <c:pt idx="3">
                  <c:v>22400</c:v>
                </c:pt>
                <c:pt idx="4">
                  <c:v>15600</c:v>
                </c:pt>
                <c:pt idx="5">
                  <c:v>5199</c:v>
                </c:pt>
                <c:pt idx="6">
                  <c:v>4745</c:v>
                </c:pt>
                <c:pt idx="7">
                  <c:v>5639</c:v>
                </c:pt>
                <c:pt idx="8">
                  <c:v>16500</c:v>
                </c:pt>
                <c:pt idx="9">
                  <c:v>4354</c:v>
                </c:pt>
                <c:pt idx="10">
                  <c:v>3243</c:v>
                </c:pt>
                <c:pt idx="11">
                  <c:v>3453</c:v>
                </c:pt>
                <c:pt idx="12">
                  <c:v>5555</c:v>
                </c:pt>
                <c:pt idx="13">
                  <c:v>4365</c:v>
                </c:pt>
              </c:numCache>
            </c:numRef>
          </c:val>
          <c:smooth val="0"/>
          <c:extLst>
            <c:ext xmlns:c16="http://schemas.microsoft.com/office/drawing/2014/chart" uri="{C3380CC4-5D6E-409C-BE32-E72D297353CC}">
              <c16:uniqueId val="{00000000-CA8E-4338-AE76-AC3118821D13}"/>
            </c:ext>
          </c:extLst>
        </c:ser>
        <c:dLbls>
          <c:showLegendKey val="0"/>
          <c:showVal val="0"/>
          <c:showCatName val="0"/>
          <c:showSerName val="0"/>
          <c:showPercent val="0"/>
          <c:showBubbleSize val="0"/>
        </c:dLbls>
        <c:marker val="1"/>
        <c:smooth val="0"/>
        <c:axId val="846570623"/>
        <c:axId val="846558143"/>
      </c:lineChart>
      <c:catAx>
        <c:axId val="84657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558143"/>
        <c:crosses val="autoZero"/>
        <c:auto val="1"/>
        <c:lblAlgn val="ctr"/>
        <c:lblOffset val="100"/>
        <c:noMultiLvlLbl val="0"/>
      </c:catAx>
      <c:valAx>
        <c:axId val="846558143"/>
        <c:scaling>
          <c:orientation val="minMax"/>
        </c:scaling>
        <c:delete val="0"/>
        <c:axPos val="l"/>
        <c:majorGridlines>
          <c:spPr>
            <a:ln w="9525" cap="flat" cmpd="sng" algn="ctr">
              <a:solidFill>
                <a:schemeClr val="bg2"/>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57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strRef>
          <c:f>Dashboard!$BZ$23</c:f>
          <c:strCache>
            <c:ptCount val="1"/>
            <c:pt idx="0">
              <c:v>X - Profile visits</c:v>
            </c:pt>
          </c:strCache>
        </c:strRef>
      </c:tx>
      <c:layout>
        <c:manualLayout>
          <c:xMode val="edge"/>
          <c:yMode val="edge"/>
          <c:x val="0.38268871346560407"/>
          <c:y val="2.6379672827449744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7960759284608563E-2"/>
          <c:y val="0.22495166169705463"/>
          <c:w val="0.88293289216221438"/>
          <c:h val="0.44198724737805439"/>
        </c:manualLayout>
      </c:layout>
      <c:barChart>
        <c:barDir val="col"/>
        <c:grouping val="clustered"/>
        <c:varyColors val="0"/>
        <c:ser>
          <c:idx val="0"/>
          <c:order val="0"/>
          <c:tx>
            <c:strRef>
              <c:f>Dashboard!$BY$3</c:f>
              <c:strCache>
                <c:ptCount val="1"/>
                <c:pt idx="0">
                  <c:v>Value</c:v>
                </c:pt>
              </c:strCache>
            </c:strRef>
          </c:tx>
          <c:spPr>
            <a:solidFill>
              <a:schemeClr val="accent5"/>
            </a:solidFill>
            <a:ln>
              <a:noFill/>
            </a:ln>
            <a:effectLst/>
          </c:spPr>
          <c:invertIfNegative val="0"/>
          <c:cat>
            <c:strRef>
              <c:f>Dashboard!$BX$4:$BX$17</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Dashboard!$BY$4:$BY$17</c:f>
              <c:numCache>
                <c:formatCode>#,##0</c:formatCode>
                <c:ptCount val="14"/>
                <c:pt idx="0">
                  <c:v>29800</c:v>
                </c:pt>
                <c:pt idx="1">
                  <c:v>89200</c:v>
                </c:pt>
                <c:pt idx="2">
                  <c:v>100600</c:v>
                </c:pt>
                <c:pt idx="3">
                  <c:v>71900</c:v>
                </c:pt>
                <c:pt idx="4">
                  <c:v>68100</c:v>
                </c:pt>
                <c:pt idx="5">
                  <c:v>34300</c:v>
                </c:pt>
                <c:pt idx="6">
                  <c:v>38900</c:v>
                </c:pt>
                <c:pt idx="7">
                  <c:v>33900</c:v>
                </c:pt>
                <c:pt idx="8">
                  <c:v>69040</c:v>
                </c:pt>
                <c:pt idx="9">
                  <c:v>70123</c:v>
                </c:pt>
                <c:pt idx="10">
                  <c:v>67888</c:v>
                </c:pt>
                <c:pt idx="11">
                  <c:v>65768</c:v>
                </c:pt>
                <c:pt idx="12">
                  <c:v>64555</c:v>
                </c:pt>
                <c:pt idx="13">
                  <c:v>55432</c:v>
                </c:pt>
              </c:numCache>
            </c:numRef>
          </c:val>
          <c:extLst>
            <c:ext xmlns:c16="http://schemas.microsoft.com/office/drawing/2014/chart" uri="{C3380CC4-5D6E-409C-BE32-E72D297353CC}">
              <c16:uniqueId val="{00000000-A84E-48DE-B241-6643A439A717}"/>
            </c:ext>
          </c:extLst>
        </c:ser>
        <c:dLbls>
          <c:showLegendKey val="0"/>
          <c:showVal val="0"/>
          <c:showCatName val="0"/>
          <c:showSerName val="0"/>
          <c:showPercent val="0"/>
          <c:showBubbleSize val="0"/>
        </c:dLbls>
        <c:gapWidth val="50"/>
        <c:overlap val="-27"/>
        <c:axId val="859126575"/>
        <c:axId val="859125615"/>
      </c:barChart>
      <c:catAx>
        <c:axId val="8591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25615"/>
        <c:crosses val="autoZero"/>
        <c:auto val="1"/>
        <c:lblAlgn val="ctr"/>
        <c:lblOffset val="100"/>
        <c:noMultiLvlLbl val="0"/>
      </c:catAx>
      <c:valAx>
        <c:axId val="859125615"/>
        <c:scaling>
          <c:orientation val="minMax"/>
        </c:scaling>
        <c:delete val="0"/>
        <c:axPos val="l"/>
        <c:majorGridlines>
          <c:spPr>
            <a:ln w="9525" cap="flat" cmpd="sng" algn="ctr">
              <a:solidFill>
                <a:schemeClr val="bg2"/>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12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 (26-27 SEASON).xlsx]Dynamic Graphs!PivotTable2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CHANGE TITLE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'Dynamic Graphs'!$B$3</c:f>
              <c:strCache>
                <c:ptCount val="1"/>
                <c:pt idx="0">
                  <c:v>Total</c:v>
                </c:pt>
              </c:strCache>
            </c:strRef>
          </c:tx>
          <c:spPr>
            <a:solidFill>
              <a:schemeClr val="accent1"/>
            </a:solidFill>
            <a:ln>
              <a:noFill/>
            </a:ln>
            <a:effectLst/>
          </c:spPr>
          <c:invertIfNegative val="0"/>
          <c:cat>
            <c:strRef>
              <c:f>'Dynamic Graphs'!$A$4:$A$18</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'Dynamic Graphs'!$B$4:$B$18</c:f>
              <c:numCache>
                <c:formatCode>General</c:formatCode>
                <c:ptCount val="14"/>
                <c:pt idx="0">
                  <c:v>139</c:v>
                </c:pt>
                <c:pt idx="1">
                  <c:v>348</c:v>
                </c:pt>
                <c:pt idx="2">
                  <c:v>611</c:v>
                </c:pt>
                <c:pt idx="3">
                  <c:v>928</c:v>
                </c:pt>
                <c:pt idx="4">
                  <c:v>660</c:v>
                </c:pt>
                <c:pt idx="5">
                  <c:v>236</c:v>
                </c:pt>
                <c:pt idx="6">
                  <c:v>329</c:v>
                </c:pt>
                <c:pt idx="7">
                  <c:v>388</c:v>
                </c:pt>
                <c:pt idx="8">
                  <c:v>623</c:v>
                </c:pt>
                <c:pt idx="9">
                  <c:v>343</c:v>
                </c:pt>
                <c:pt idx="10">
                  <c:v>454</c:v>
                </c:pt>
                <c:pt idx="11">
                  <c:v>576</c:v>
                </c:pt>
                <c:pt idx="12">
                  <c:v>538</c:v>
                </c:pt>
                <c:pt idx="13">
                  <c:v>527</c:v>
                </c:pt>
              </c:numCache>
            </c:numRef>
          </c:val>
          <c:extLst>
            <c:ext xmlns:c16="http://schemas.microsoft.com/office/drawing/2014/chart" uri="{C3380CC4-5D6E-409C-BE32-E72D297353CC}">
              <c16:uniqueId val="{00000000-8604-44B7-A04D-76E614638482}"/>
            </c:ext>
          </c:extLst>
        </c:ser>
        <c:dLbls>
          <c:showLegendKey val="0"/>
          <c:showVal val="0"/>
          <c:showCatName val="0"/>
          <c:showSerName val="0"/>
          <c:showPercent val="0"/>
          <c:showBubbleSize val="0"/>
        </c:dLbls>
        <c:gapWidth val="20"/>
        <c:axId val="54698576"/>
        <c:axId val="54692336"/>
      </c:barChart>
      <c:catAx>
        <c:axId val="54698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336"/>
        <c:crosses val="autoZero"/>
        <c:auto val="1"/>
        <c:lblAlgn val="ctr"/>
        <c:lblOffset val="100"/>
        <c:noMultiLvlLbl val="0"/>
      </c:catAx>
      <c:valAx>
        <c:axId val="5469233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[TEMPLATE (26-27 SEASON).xlsx]Dynamic Graphs!PivotTable2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TITLE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'Dynamic Graphs'!$B$3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'Dynamic Graphs'!$A$4:$A$18</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'Dynamic Graphs'!$B$4:$B$18</c:f>
              <c:numCache>
                <c:formatCode>General</c:formatCode>
                <c:ptCount val="14"/>
                <c:pt idx="0">
                  <c:v>139</c:v>
                </c:pt>
                <c:pt idx="1">
                  <c:v>348</c:v>
                </c:pt>
                <c:pt idx="2">
                  <c:v>611</c:v>
                </c:pt>
                <c:pt idx="3">
                  <c:v>928</c:v>
                </c:pt>
                <c:pt idx="4">
                  <c:v>660</c:v>
                </c:pt>
                <c:pt idx="5">
                  <c:v>236</c:v>
                </c:pt>
                <c:pt idx="6">
                  <c:v>329</c:v>
                </c:pt>
                <c:pt idx="7">
                  <c:v>388</c:v>
                </c:pt>
                <c:pt idx="8">
                  <c:v>623</c:v>
                </c:pt>
                <c:pt idx="9">
                  <c:v>343</c:v>
                </c:pt>
                <c:pt idx="10">
                  <c:v>454</c:v>
                </c:pt>
                <c:pt idx="11">
                  <c:v>576</c:v>
                </c:pt>
                <c:pt idx="12">
                  <c:v>538</c:v>
                </c:pt>
                <c:pt idx="13">
                  <c:v>527</c:v>
                </c:pt>
              </c:numCache>
            </c:numRef>
          </c:val>
          <c:smooth val="0"/>
          <c:extLst>
            <c:ext xmlns:c16="http://schemas.microsoft.com/office/drawing/2014/chart" uri="{C3380CC4-5D6E-409C-BE32-E72D297353CC}">
              <c16:uniqueId val="{00000000-4D7F-46B5-8B9E-8A2C7AA884F0}"/>
            </c:ext>
          </c:extLst>
        </c:ser>
        <c:dLbls>
          <c:showLegendKey val="0"/>
          <c:showVal val="0"/>
          <c:showCatName val="0"/>
          <c:showSerName val="0"/>
          <c:showPercent val="0"/>
          <c:showBubbleSize val="0"/>
        </c:dLbls>
        <c:marker val="1"/>
        <c:smooth val="0"/>
        <c:axId val="87949456"/>
        <c:axId val="87950416"/>
      </c:lineChart>
      <c:catAx>
        <c:axId val="8794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0416"/>
        <c:crosses val="autoZero"/>
        <c:auto val="1"/>
        <c:lblAlgn val="ctr"/>
        <c:lblOffset val="100"/>
        <c:noMultiLvlLbl val="0"/>
      </c:catAx>
      <c:valAx>
        <c:axId val="8795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4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 (26-27 SEASON).xlsx]Dynamic Graphs!PivotTable2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a:t>
            </a:r>
            <a:r>
              <a:rPr lang="en-US" baseline="0"/>
              <a:t> TITLE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'Dynamic Graphs'!$B$3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'Dynamic Graphs'!$A$4:$A$18</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'Dynamic Graphs'!$B$4:$B$18</c:f>
              <c:numCache>
                <c:formatCode>General</c:formatCode>
                <c:ptCount val="14"/>
                <c:pt idx="0">
                  <c:v>139</c:v>
                </c:pt>
                <c:pt idx="1">
                  <c:v>348</c:v>
                </c:pt>
                <c:pt idx="2">
                  <c:v>611</c:v>
                </c:pt>
                <c:pt idx="3">
                  <c:v>928</c:v>
                </c:pt>
                <c:pt idx="4">
                  <c:v>660</c:v>
                </c:pt>
                <c:pt idx="5">
                  <c:v>236</c:v>
                </c:pt>
                <c:pt idx="6">
                  <c:v>329</c:v>
                </c:pt>
                <c:pt idx="7">
                  <c:v>388</c:v>
                </c:pt>
                <c:pt idx="8">
                  <c:v>623</c:v>
                </c:pt>
                <c:pt idx="9">
                  <c:v>343</c:v>
                </c:pt>
                <c:pt idx="10">
                  <c:v>454</c:v>
                </c:pt>
                <c:pt idx="11">
                  <c:v>576</c:v>
                </c:pt>
                <c:pt idx="12">
                  <c:v>538</c:v>
                </c:pt>
                <c:pt idx="13">
                  <c:v>527</c:v>
                </c:pt>
              </c:numCache>
            </c:numRef>
          </c:val>
          <c:extLst>
            <c:ext xmlns:c16="http://schemas.microsoft.com/office/drawing/2014/chart" uri="{C3380CC4-5D6E-409C-BE32-E72D297353CC}">
              <c16:uniqueId val="{00000000-9367-408E-847C-D3FB449C5B6B}"/>
            </c:ext>
          </c:extLst>
        </c:ser>
        <c:dLbls>
          <c:dLblPos val="outEnd"/>
          <c:showLegendKey val="0"/>
          <c:showVal val="1"/>
          <c:showCatName val="0"/>
          <c:showSerName val="0"/>
          <c:showPercent val="0"/>
          <c:showBubbleSize val="0"/>
        </c:dLbls>
        <c:gapWidth val="40"/>
        <c:axId val="59729664"/>
        <c:axId val="59730624"/>
      </c:barChart>
      <c:catAx>
        <c:axId val="59729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0624"/>
        <c:crosses val="autoZero"/>
        <c:auto val="1"/>
        <c:lblAlgn val="ctr"/>
        <c:lblOffset val="100"/>
        <c:noMultiLvlLbl val="0"/>
      </c:catAx>
      <c:valAx>
        <c:axId val="59730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 (26-27 SEASON).xlsx]Womens Dynamic Graphs!PivotTable4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TITLE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'Womens Dynamic Graphs'!$B$3</c:f>
              <c:strCache>
                <c:ptCount val="1"/>
                <c:pt idx="0">
                  <c:v>Total</c:v>
                </c:pt>
              </c:strCache>
            </c:strRef>
          </c:tx>
          <c:spPr>
            <a:solidFill>
              <a:schemeClr val="accent1"/>
            </a:solidFill>
            <a:ln>
              <a:noFill/>
            </a:ln>
            <a:effectLst/>
          </c:spPr>
          <c:invertIfNegative val="0"/>
          <c:cat>
            <c:strRef>
              <c:f>'Womens Dynamic Graphs'!$A$4:$A$18</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'Womens Dynamic Graphs'!$B$4:$B$18</c:f>
              <c:numCache>
                <c:formatCode>General</c:formatCode>
                <c:ptCount val="14"/>
                <c:pt idx="0">
                  <c:v>3</c:v>
                </c:pt>
                <c:pt idx="1">
                  <c:v>4</c:v>
                </c:pt>
                <c:pt idx="2">
                  <c:v>12</c:v>
                </c:pt>
                <c:pt idx="3">
                  <c:v>5</c:v>
                </c:pt>
                <c:pt idx="4">
                  <c:v>7</c:v>
                </c:pt>
                <c:pt idx="5">
                  <c:v>2</c:v>
                </c:pt>
                <c:pt idx="6">
                  <c:v>5</c:v>
                </c:pt>
                <c:pt idx="7">
                  <c:v>3</c:v>
                </c:pt>
                <c:pt idx="8">
                  <c:v>6</c:v>
                </c:pt>
                <c:pt idx="9">
                  <c:v>7</c:v>
                </c:pt>
                <c:pt idx="10">
                  <c:v>8</c:v>
                </c:pt>
                <c:pt idx="11">
                  <c:v>9</c:v>
                </c:pt>
                <c:pt idx="12">
                  <c:v>8</c:v>
                </c:pt>
                <c:pt idx="13">
                  <c:v>4</c:v>
                </c:pt>
              </c:numCache>
            </c:numRef>
          </c:val>
          <c:extLst>
            <c:ext xmlns:c16="http://schemas.microsoft.com/office/drawing/2014/chart" uri="{C3380CC4-5D6E-409C-BE32-E72D297353CC}">
              <c16:uniqueId val="{00000000-FE46-4590-A106-80572B048D87}"/>
            </c:ext>
          </c:extLst>
        </c:ser>
        <c:dLbls>
          <c:showLegendKey val="0"/>
          <c:showVal val="0"/>
          <c:showCatName val="0"/>
          <c:showSerName val="0"/>
          <c:showPercent val="0"/>
          <c:showBubbleSize val="0"/>
        </c:dLbls>
        <c:gapWidth val="219"/>
        <c:overlap val="-27"/>
        <c:axId val="1058617872"/>
        <c:axId val="1058619792"/>
      </c:barChart>
      <c:catAx>
        <c:axId val="105861787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619792"/>
        <c:crosses val="autoZero"/>
        <c:auto val="1"/>
        <c:lblAlgn val="ctr"/>
        <c:lblOffset val="100"/>
        <c:noMultiLvlLbl val="0"/>
      </c:catAx>
      <c:valAx>
        <c:axId val="10586197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61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 (26-27 SEASON).xlsx]Womens Dynamic Graphs!PivotTable4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TITLE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'Womens Dynamic Graphs'!$B$3</c:f>
              <c:strCache>
                <c:ptCount val="1"/>
                <c:pt idx="0">
                  <c:v>Total</c:v>
                </c:pt>
              </c:strCache>
            </c:strRef>
          </c:tx>
          <c:spPr>
            <a:ln w="28575" cap="rnd">
              <a:solidFill>
                <a:schemeClr val="accent1"/>
              </a:solidFill>
              <a:round/>
            </a:ln>
            <a:effectLst/>
          </c:spPr>
          <c:marker>
            <c:symbol val="none"/>
          </c:marker>
          <c:cat>
            <c:strRef>
              <c:f>'Womens Dynamic Graphs'!$A$4:$A$18</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'Womens Dynamic Graphs'!$B$4:$B$18</c:f>
              <c:numCache>
                <c:formatCode>General</c:formatCode>
                <c:ptCount val="14"/>
                <c:pt idx="0">
                  <c:v>3</c:v>
                </c:pt>
                <c:pt idx="1">
                  <c:v>4</c:v>
                </c:pt>
                <c:pt idx="2">
                  <c:v>12</c:v>
                </c:pt>
                <c:pt idx="3">
                  <c:v>5</c:v>
                </c:pt>
                <c:pt idx="4">
                  <c:v>7</c:v>
                </c:pt>
                <c:pt idx="5">
                  <c:v>2</c:v>
                </c:pt>
                <c:pt idx="6">
                  <c:v>5</c:v>
                </c:pt>
                <c:pt idx="7">
                  <c:v>3</c:v>
                </c:pt>
                <c:pt idx="8">
                  <c:v>6</c:v>
                </c:pt>
                <c:pt idx="9">
                  <c:v>7</c:v>
                </c:pt>
                <c:pt idx="10">
                  <c:v>8</c:v>
                </c:pt>
                <c:pt idx="11">
                  <c:v>9</c:v>
                </c:pt>
                <c:pt idx="12">
                  <c:v>8</c:v>
                </c:pt>
                <c:pt idx="13">
                  <c:v>4</c:v>
                </c:pt>
              </c:numCache>
            </c:numRef>
          </c:val>
          <c:smooth val="0"/>
          <c:extLst>
            <c:ext xmlns:c16="http://schemas.microsoft.com/office/drawing/2014/chart" uri="{C3380CC4-5D6E-409C-BE32-E72D297353CC}">
              <c16:uniqueId val="{00000000-5AEB-48D4-9EA8-68A1C842BB13}"/>
            </c:ext>
          </c:extLst>
        </c:ser>
        <c:dLbls>
          <c:showLegendKey val="0"/>
          <c:showVal val="0"/>
          <c:showCatName val="0"/>
          <c:showSerName val="0"/>
          <c:showPercent val="0"/>
          <c:showBubbleSize val="0"/>
        </c:dLbls>
        <c:smooth val="0"/>
        <c:axId val="121663295"/>
        <c:axId val="121654175"/>
      </c:lineChart>
      <c:catAx>
        <c:axId val="12166329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4175"/>
        <c:crosses val="autoZero"/>
        <c:auto val="1"/>
        <c:lblAlgn val="ctr"/>
        <c:lblOffset val="100"/>
        <c:noMultiLvlLbl val="0"/>
      </c:catAx>
      <c:valAx>
        <c:axId val="1216541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6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 (26-27 SEASON).xlsx]Womens Dynamic Graphs!PivotTable4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TITLE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'Womens Dynamic Graphs'!$B$3</c:f>
              <c:strCache>
                <c:ptCount val="1"/>
                <c:pt idx="0">
                  <c:v>Total</c:v>
                </c:pt>
              </c:strCache>
            </c:strRef>
          </c:tx>
          <c:spPr>
            <a:solidFill>
              <a:schemeClr val="accent1"/>
            </a:solidFill>
            <a:ln>
              <a:noFill/>
            </a:ln>
            <a:effectLst/>
          </c:spPr>
          <c:invertIfNegative val="0"/>
          <c:cat>
            <c:strRef>
              <c:f>'Womens Dynamic Graphs'!$A$4:$A$18</c:f>
              <c:strCache>
                <c:ptCount val="14"/>
                <c:pt idx="0">
                  <c:v>May-26</c:v>
                </c:pt>
                <c:pt idx="1">
                  <c:v>Jun-26</c:v>
                </c:pt>
                <c:pt idx="2">
                  <c:v>Jul-26</c:v>
                </c:pt>
                <c:pt idx="3">
                  <c:v>Aug-26</c:v>
                </c:pt>
                <c:pt idx="4">
                  <c:v>Sep-26</c:v>
                </c:pt>
                <c:pt idx="5">
                  <c:v>Oct-26</c:v>
                </c:pt>
                <c:pt idx="6">
                  <c:v>Nov-26</c:v>
                </c:pt>
                <c:pt idx="7">
                  <c:v>Dec-26</c:v>
                </c:pt>
                <c:pt idx="8">
                  <c:v>Jan-27</c:v>
                </c:pt>
                <c:pt idx="9">
                  <c:v>Feb-27</c:v>
                </c:pt>
                <c:pt idx="10">
                  <c:v>Mar-27</c:v>
                </c:pt>
                <c:pt idx="11">
                  <c:v>Apr-27</c:v>
                </c:pt>
                <c:pt idx="12">
                  <c:v>May-27</c:v>
                </c:pt>
                <c:pt idx="13">
                  <c:v>Jun-27</c:v>
                </c:pt>
              </c:strCache>
            </c:strRef>
          </c:cat>
          <c:val>
            <c:numRef>
              <c:f>'Womens Dynamic Graphs'!$B$4:$B$18</c:f>
              <c:numCache>
                <c:formatCode>General</c:formatCode>
                <c:ptCount val="14"/>
                <c:pt idx="0">
                  <c:v>3</c:v>
                </c:pt>
                <c:pt idx="1">
                  <c:v>4</c:v>
                </c:pt>
                <c:pt idx="2">
                  <c:v>12</c:v>
                </c:pt>
                <c:pt idx="3">
                  <c:v>5</c:v>
                </c:pt>
                <c:pt idx="4">
                  <c:v>7</c:v>
                </c:pt>
                <c:pt idx="5">
                  <c:v>2</c:v>
                </c:pt>
                <c:pt idx="6">
                  <c:v>5</c:v>
                </c:pt>
                <c:pt idx="7">
                  <c:v>3</c:v>
                </c:pt>
                <c:pt idx="8">
                  <c:v>6</c:v>
                </c:pt>
                <c:pt idx="9">
                  <c:v>7</c:v>
                </c:pt>
                <c:pt idx="10">
                  <c:v>8</c:v>
                </c:pt>
                <c:pt idx="11">
                  <c:v>9</c:v>
                </c:pt>
                <c:pt idx="12">
                  <c:v>8</c:v>
                </c:pt>
                <c:pt idx="13">
                  <c:v>4</c:v>
                </c:pt>
              </c:numCache>
            </c:numRef>
          </c:val>
          <c:extLst>
            <c:ext xmlns:c16="http://schemas.microsoft.com/office/drawing/2014/chart" uri="{C3380CC4-5D6E-409C-BE32-E72D297353CC}">
              <c16:uniqueId val="{00000000-1F4E-46EA-81BA-FFCBC62AE7AA}"/>
            </c:ext>
          </c:extLst>
        </c:ser>
        <c:dLbls>
          <c:showLegendKey val="0"/>
          <c:showVal val="0"/>
          <c:showCatName val="0"/>
          <c:showSerName val="0"/>
          <c:showPercent val="0"/>
          <c:showBubbleSize val="0"/>
        </c:dLbls>
        <c:gapWidth val="182"/>
        <c:axId val="1058665392"/>
        <c:axId val="1058665872"/>
      </c:barChart>
      <c:catAx>
        <c:axId val="105866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665872"/>
        <c:crosses val="autoZero"/>
        <c:auto val="1"/>
        <c:lblAlgn val="ctr"/>
        <c:lblOffset val="100"/>
        <c:noMultiLvlLbl val="0"/>
      </c:catAx>
      <c:valAx>
        <c:axId val="105866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66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174856</xdr:colOff>
      <xdr:row>1</xdr:row>
      <xdr:rowOff>147248</xdr:rowOff>
    </xdr:from>
    <xdr:to>
      <xdr:col>8</xdr:col>
      <xdr:colOff>295608</xdr:colOff>
      <xdr:row>12</xdr:row>
      <xdr:rowOff>174856</xdr:rowOff>
    </xdr:to>
    <xdr:pic>
      <xdr:nvPicPr>
        <xdr:cNvPr id="2" name="Picture 1" descr="Football Club Shield Logo in Blue Shiny Frame &amp; Ribbon Stock Vector - Illustration of soccer, name: 114951785">
          <a:extLst>
            <a:ext uri="{FF2B5EF4-FFF2-40B4-BE49-F238E27FC236}">
              <a16:creationId xmlns:a16="http://schemas.microsoft.com/office/drawing/2014/main" id="{D0B4FCB8-20E5-E0EE-6820-646C982D0B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2392" y="331306"/>
          <a:ext cx="1942926" cy="2052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240580</xdr:colOff>
      <xdr:row>2</xdr:row>
      <xdr:rowOff>102746</xdr:rowOff>
    </xdr:from>
    <xdr:to>
      <xdr:col>16</xdr:col>
      <xdr:colOff>296334</xdr:colOff>
      <xdr:row>4</xdr:row>
      <xdr:rowOff>141111</xdr:rowOff>
    </xdr:to>
    <xdr:sp macro="" textlink="">
      <xdr:nvSpPr>
        <xdr:cNvPr id="2" name="TextBox 1">
          <a:extLst>
            <a:ext uri="{FF2B5EF4-FFF2-40B4-BE49-F238E27FC236}">
              <a16:creationId xmlns:a16="http://schemas.microsoft.com/office/drawing/2014/main" id="{7C8A3E32-CD15-C4A0-65F1-B2FC348CD060}"/>
            </a:ext>
          </a:extLst>
        </xdr:cNvPr>
        <xdr:cNvSpPr txBox="1"/>
      </xdr:nvSpPr>
      <xdr:spPr>
        <a:xfrm>
          <a:off x="5094802" y="526079"/>
          <a:ext cx="4909976" cy="461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Social Media Performance Dashboard – User Guide</a:t>
          </a:r>
        </a:p>
      </xdr:txBody>
    </xdr:sp>
    <xdr:clientData/>
  </xdr:twoCellAnchor>
  <xdr:twoCellAnchor>
    <xdr:from>
      <xdr:col>1</xdr:col>
      <xdr:colOff>412750</xdr:colOff>
      <xdr:row>5</xdr:row>
      <xdr:rowOff>142875</xdr:rowOff>
    </xdr:from>
    <xdr:to>
      <xdr:col>10</xdr:col>
      <xdr:colOff>206375</xdr:colOff>
      <xdr:row>19</xdr:row>
      <xdr:rowOff>158750</xdr:rowOff>
    </xdr:to>
    <xdr:sp macro="" textlink="">
      <xdr:nvSpPr>
        <xdr:cNvPr id="3" name="Rectangle: Rounded Corners 2">
          <a:extLst>
            <a:ext uri="{FF2B5EF4-FFF2-40B4-BE49-F238E27FC236}">
              <a16:creationId xmlns:a16="http://schemas.microsoft.com/office/drawing/2014/main" id="{6BEB20D0-7F6B-0F5A-2D1F-F8B7E6D1E60E}"/>
            </a:ext>
          </a:extLst>
        </xdr:cNvPr>
        <xdr:cNvSpPr/>
      </xdr:nvSpPr>
      <xdr:spPr>
        <a:xfrm>
          <a:off x="1016000" y="1174750"/>
          <a:ext cx="5222875" cy="29051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u="sng">
              <a:solidFill>
                <a:sysClr val="windowText" lastClr="000000"/>
              </a:solidFill>
            </a:rPr>
            <a:t>1. Updating</a:t>
          </a:r>
          <a:r>
            <a:rPr lang="en-GB" sz="1600" b="1" u="sng" baseline="0">
              <a:solidFill>
                <a:sysClr val="windowText" lastClr="000000"/>
              </a:solidFill>
            </a:rPr>
            <a:t> Monthly Data</a:t>
          </a:r>
        </a:p>
        <a:p>
          <a:pPr algn="l"/>
          <a:endParaRPr lang="en-GB" sz="1100" u="none" baseline="0">
            <a:solidFill>
              <a:sysClr val="windowText" lastClr="000000"/>
            </a:solidFill>
          </a:endParaRPr>
        </a:p>
        <a:p>
          <a:pPr algn="l"/>
          <a:r>
            <a:rPr lang="en-GB" sz="1400" u="none" baseline="0">
              <a:solidFill>
                <a:sysClr val="windowText" lastClr="000000"/>
              </a:solidFill>
              <a:latin typeface="Segoe UI" panose="020B0502040204020203" pitchFamily="34" charset="0"/>
              <a:cs typeface="Segoe UI" panose="020B0502040204020203" pitchFamily="34" charset="0"/>
            </a:rPr>
            <a:t>Step 1) Open the </a:t>
          </a:r>
          <a:r>
            <a:rPr lang="en-GB" sz="1400" b="1" u="none" baseline="0">
              <a:solidFill>
                <a:sysClr val="windowText" lastClr="000000"/>
              </a:solidFill>
              <a:latin typeface="Segoe UI" panose="020B0502040204020203" pitchFamily="34" charset="0"/>
              <a:cs typeface="Segoe UI" panose="020B0502040204020203" pitchFamily="34" charset="0"/>
            </a:rPr>
            <a:t>Data Entry </a:t>
          </a:r>
          <a:r>
            <a:rPr lang="en-GB" sz="1400" b="0" u="none" baseline="0">
              <a:solidFill>
                <a:sysClr val="windowText" lastClr="000000"/>
              </a:solidFill>
              <a:latin typeface="Segoe UI" panose="020B0502040204020203" pitchFamily="34" charset="0"/>
              <a:cs typeface="Segoe UI" panose="020B0502040204020203" pitchFamily="34" charset="0"/>
            </a:rPr>
            <a:t>Sheet, selected from the worksheet tabs below</a:t>
          </a:r>
        </a:p>
        <a:p>
          <a:pPr algn="l"/>
          <a:r>
            <a:rPr lang="en-GB" sz="1400" b="0" u="none" baseline="0">
              <a:solidFill>
                <a:sysClr val="windowText" lastClr="000000"/>
              </a:solidFill>
              <a:latin typeface="Segoe UI" panose="020B0502040204020203" pitchFamily="34" charset="0"/>
              <a:cs typeface="Segoe UI" panose="020B0502040204020203" pitchFamily="34" charset="0"/>
            </a:rPr>
            <a:t>Step 2) Enter the latest monthly figures for each platform under the relevant month</a:t>
          </a:r>
        </a:p>
        <a:p>
          <a:pPr algn="l"/>
          <a:r>
            <a:rPr lang="en-GB" sz="1400" b="0" u="none" baseline="0">
              <a:solidFill>
                <a:sysClr val="windowText" lastClr="000000"/>
              </a:solidFill>
              <a:latin typeface="Segoe UI" panose="020B0502040204020203" pitchFamily="34" charset="0"/>
              <a:cs typeface="Segoe UI" panose="020B0502040204020203" pitchFamily="34" charset="0"/>
            </a:rPr>
            <a:t>Step 3) Leave future months as</a:t>
          </a:r>
          <a:r>
            <a:rPr lang="en-GB" sz="1400" b="1" u="none" baseline="0">
              <a:solidFill>
                <a:sysClr val="windowText" lastClr="000000"/>
              </a:solidFill>
              <a:latin typeface="Segoe UI" panose="020B0502040204020203" pitchFamily="34" charset="0"/>
              <a:cs typeface="Segoe UI" panose="020B0502040204020203" pitchFamily="34" charset="0"/>
            </a:rPr>
            <a:t> 0</a:t>
          </a:r>
          <a:r>
            <a:rPr lang="en-GB" sz="1400" b="0" u="none" baseline="0">
              <a:solidFill>
                <a:sysClr val="windowText" lastClr="000000"/>
              </a:solidFill>
              <a:latin typeface="Segoe UI" panose="020B0502040204020203" pitchFamily="34" charset="0"/>
              <a:cs typeface="Segoe UI" panose="020B0502040204020203" pitchFamily="34" charset="0"/>
            </a:rPr>
            <a:t> until data is availabe</a:t>
          </a:r>
        </a:p>
        <a:p>
          <a:pPr algn="l"/>
          <a:r>
            <a:rPr lang="en-GB" sz="1400" b="0" u="none" baseline="0">
              <a:solidFill>
                <a:sysClr val="windowText" lastClr="000000"/>
              </a:solidFill>
              <a:latin typeface="Segoe UI" panose="020B0502040204020203" pitchFamily="34" charset="0"/>
              <a:cs typeface="Segoe UI" panose="020B0502040204020203" pitchFamily="34" charset="0"/>
            </a:rPr>
            <a:t>Step 4) Save the workbook</a:t>
          </a:r>
        </a:p>
        <a:p>
          <a:pPr algn="l"/>
          <a:endParaRPr lang="en-GB" sz="1400" b="0" u="none" baseline="0">
            <a:solidFill>
              <a:sysClr val="windowText" lastClr="000000"/>
            </a:solidFill>
            <a:latin typeface="Segoe UI" panose="020B0502040204020203" pitchFamily="34" charset="0"/>
            <a:cs typeface="Segoe UI" panose="020B0502040204020203" pitchFamily="34" charset="0"/>
          </a:endParaRPr>
        </a:p>
        <a:p>
          <a:pPr algn="l"/>
          <a:r>
            <a:rPr lang="en-GB" sz="1400" b="0" u="none" baseline="0">
              <a:solidFill>
                <a:sysClr val="windowText" lastClr="000000"/>
              </a:solidFill>
              <a:latin typeface="Segoe UI" panose="020B0502040204020203" pitchFamily="34" charset="0"/>
              <a:cs typeface="Segoe UI" panose="020B0502040204020203" pitchFamily="34" charset="0"/>
            </a:rPr>
            <a:t>The Dashboard and Calculations update automatically. </a:t>
          </a:r>
          <a:endParaRPr lang="en-GB" sz="1400" u="none">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11</xdr:col>
      <xdr:colOff>525639</xdr:colOff>
      <xdr:row>5</xdr:row>
      <xdr:rowOff>124059</xdr:rowOff>
    </xdr:from>
    <xdr:to>
      <xdr:col>21</xdr:col>
      <xdr:colOff>454926</xdr:colOff>
      <xdr:row>24</xdr:row>
      <xdr:rowOff>170596</xdr:rowOff>
    </xdr:to>
    <xdr:sp macro="" textlink="">
      <xdr:nvSpPr>
        <xdr:cNvPr id="7" name="Rectangle: Rounded Corners 6">
          <a:extLst>
            <a:ext uri="{FF2B5EF4-FFF2-40B4-BE49-F238E27FC236}">
              <a16:creationId xmlns:a16="http://schemas.microsoft.com/office/drawing/2014/main" id="{5170A1D6-1AB6-4D75-BF6A-A9A02F4C27D8}"/>
            </a:ext>
          </a:extLst>
        </xdr:cNvPr>
        <xdr:cNvSpPr/>
      </xdr:nvSpPr>
      <xdr:spPr>
        <a:xfrm>
          <a:off x="7197878" y="1166596"/>
          <a:ext cx="5994958" cy="400817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u="sng">
              <a:solidFill>
                <a:sysClr val="windowText" lastClr="000000"/>
              </a:solidFill>
            </a:rPr>
            <a:t>2. Using the Dashboard</a:t>
          </a:r>
          <a:endParaRPr lang="en-GB" sz="1600" b="1" u="sng" baseline="0">
            <a:solidFill>
              <a:sysClr val="windowText" lastClr="000000"/>
            </a:solidFill>
          </a:endParaRPr>
        </a:p>
        <a:p>
          <a:pPr algn="l"/>
          <a:endParaRPr lang="en-GB" sz="1200" u="none" baseline="0">
            <a:solidFill>
              <a:sysClr val="windowText" lastClr="000000"/>
            </a:solidFill>
          </a:endParaRPr>
        </a:p>
        <a:p>
          <a:pPr algn="l"/>
          <a:r>
            <a:rPr lang="en-GB" sz="1200" b="1" u="sng" baseline="0">
              <a:solidFill>
                <a:sysClr val="windowText" lastClr="000000"/>
              </a:solidFill>
            </a:rPr>
            <a:t>KPI Cards (top section)</a:t>
          </a:r>
        </a:p>
        <a:p>
          <a:pPr algn="l"/>
          <a:r>
            <a:rPr lang="en-GB" sz="1200" b="0" u="none" baseline="0">
              <a:solidFill>
                <a:sysClr val="windowText" lastClr="000000"/>
              </a:solidFill>
            </a:rPr>
            <a:t>Use the </a:t>
          </a:r>
          <a:r>
            <a:rPr lang="en-GB" sz="1200" b="1" u="none" baseline="0">
              <a:solidFill>
                <a:sysClr val="windowText" lastClr="000000"/>
              </a:solidFill>
            </a:rPr>
            <a:t>Platform </a:t>
          </a:r>
          <a:r>
            <a:rPr lang="en-GB" sz="1200" b="0" u="none" baseline="0">
              <a:solidFill>
                <a:sysClr val="windowText" lastClr="000000"/>
              </a:solidFill>
            </a:rPr>
            <a:t>and </a:t>
          </a:r>
          <a:r>
            <a:rPr lang="en-GB" sz="1200" b="1" u="none" baseline="0">
              <a:solidFill>
                <a:sysClr val="windowText" lastClr="000000"/>
              </a:solidFill>
            </a:rPr>
            <a:t>Month </a:t>
          </a:r>
          <a:r>
            <a:rPr lang="en-GB" sz="1200" b="0" u="none" baseline="0">
              <a:solidFill>
                <a:sysClr val="windowText" lastClr="000000"/>
              </a:solidFill>
            </a:rPr>
            <a:t>filters at the top of the Dashboard to display headline performance metrics</a:t>
          </a:r>
        </a:p>
        <a:p>
          <a:pPr algn="l"/>
          <a:endParaRPr lang="en-GB" sz="1200" b="0" u="none" baseline="0">
            <a:solidFill>
              <a:sysClr val="windowText" lastClr="000000"/>
            </a:solidFill>
          </a:endParaRPr>
        </a:p>
        <a:p>
          <a:pPr algn="l"/>
          <a:r>
            <a:rPr lang="en-GB" sz="1200" b="1" u="sng" baseline="0">
              <a:solidFill>
                <a:sysClr val="windowText" lastClr="000000"/>
              </a:solidFill>
            </a:rPr>
            <a:t>Trend Chart</a:t>
          </a:r>
        </a:p>
        <a:p>
          <a:pPr algn="l"/>
          <a:r>
            <a:rPr lang="en-GB" sz="1200" b="0" u="none" baseline="0">
              <a:solidFill>
                <a:sysClr val="windowText" lastClr="000000"/>
              </a:solidFill>
            </a:rPr>
            <a:t>Select any platform to analyse its monthly performance throughout the season</a:t>
          </a:r>
        </a:p>
        <a:p>
          <a:pPr algn="l"/>
          <a:endParaRPr lang="en-GB" sz="1200" b="0" u="none" baseline="0">
            <a:solidFill>
              <a:sysClr val="windowText" lastClr="000000"/>
            </a:solidFill>
          </a:endParaRPr>
        </a:p>
        <a:p>
          <a:pPr algn="l"/>
          <a:r>
            <a:rPr lang="en-GB" sz="1200" b="1" u="sng" baseline="0">
              <a:solidFill>
                <a:sysClr val="windowText" lastClr="000000"/>
              </a:solidFill>
            </a:rPr>
            <a:t>Comparison Chart </a:t>
          </a:r>
        </a:p>
        <a:p>
          <a:pPr algn="l"/>
          <a:r>
            <a:rPr lang="en-GB" sz="1200" b="0" u="none" baseline="0">
              <a:solidFill>
                <a:sysClr val="windowText" lastClr="000000"/>
              </a:solidFill>
            </a:rPr>
            <a:t>Choose both a </a:t>
          </a:r>
          <a:r>
            <a:rPr lang="en-GB" sz="1200" b="1" u="none" baseline="0">
              <a:solidFill>
                <a:sysClr val="windowText" lastClr="000000"/>
              </a:solidFill>
            </a:rPr>
            <a:t>Platform </a:t>
          </a:r>
          <a:r>
            <a:rPr lang="en-GB" sz="1200" b="0" u="none" baseline="0">
              <a:solidFill>
                <a:sysClr val="windowText" lastClr="000000"/>
              </a:solidFill>
            </a:rPr>
            <a:t>and </a:t>
          </a:r>
          <a:r>
            <a:rPr lang="en-GB" sz="1200" b="1" u="none" baseline="0">
              <a:solidFill>
                <a:sysClr val="windowText" lastClr="000000"/>
              </a:solidFill>
            </a:rPr>
            <a:t>Metric</a:t>
          </a:r>
          <a:r>
            <a:rPr lang="en-GB" sz="1200" b="0" u="none" baseline="0">
              <a:solidFill>
                <a:sysClr val="windowText" lastClr="000000"/>
              </a:solidFill>
            </a:rPr>
            <a:t> to compare any metric across the season</a:t>
          </a:r>
        </a:p>
        <a:p>
          <a:pPr algn="l"/>
          <a:endParaRPr lang="en-GB" sz="1200" b="0" u="none" baseline="0">
            <a:solidFill>
              <a:sysClr val="windowText" lastClr="000000"/>
            </a:solidFill>
          </a:endParaRPr>
        </a:p>
        <a:p>
          <a:pPr algn="l"/>
          <a:r>
            <a:rPr lang="en-GB" sz="1200" b="1" u="sng" baseline="0">
              <a:solidFill>
                <a:sysClr val="windowText" lastClr="000000"/>
              </a:solidFill>
            </a:rPr>
            <a:t>Executive Summary (bottom left)</a:t>
          </a:r>
        </a:p>
        <a:p>
          <a:pPr algn="l"/>
          <a:r>
            <a:rPr lang="en-GB" sz="1200" b="0" u="none" baseline="0">
              <a:solidFill>
                <a:sysClr val="windowText" lastClr="000000"/>
              </a:solidFill>
            </a:rPr>
            <a:t>Select a platform to automatically display: Highest KPI, Largest Increase... as shown.</a:t>
          </a:r>
        </a:p>
        <a:p>
          <a:pPr algn="l"/>
          <a:endParaRPr lang="en-GB" sz="1200" b="0" u="none" baseline="0">
            <a:solidFill>
              <a:sysClr val="windowText" lastClr="000000"/>
            </a:solidFill>
          </a:endParaRPr>
        </a:p>
        <a:p>
          <a:pPr algn="l"/>
          <a:r>
            <a:rPr lang="en-GB" sz="1200" b="1" u="sng" baseline="0">
              <a:solidFill>
                <a:sysClr val="windowText" lastClr="000000"/>
              </a:solidFill>
            </a:rPr>
            <a:t>Insights Panel (bottom right)</a:t>
          </a:r>
        </a:p>
        <a:p>
          <a:pPr algn="l"/>
          <a:r>
            <a:rPr lang="en-GB" sz="1200" b="0" u="none" baseline="0">
              <a:solidFill>
                <a:sysClr val="windowText" lastClr="000000"/>
              </a:solidFill>
            </a:rPr>
            <a:t>Choose any platform and metric to display the highest, lowest, average and comparitive statistics</a:t>
          </a:r>
        </a:p>
        <a:p>
          <a:pPr algn="l"/>
          <a:endParaRPr lang="en-GB" sz="1200" b="0" u="none">
            <a:solidFill>
              <a:sysClr val="windowText" lastClr="000000"/>
            </a:solidFill>
          </a:endParaRPr>
        </a:p>
      </xdr:txBody>
    </xdr:sp>
    <xdr:clientData/>
  </xdr:twoCellAnchor>
  <xdr:twoCellAnchor>
    <xdr:from>
      <xdr:col>1</xdr:col>
      <xdr:colOff>423333</xdr:colOff>
      <xdr:row>20</xdr:row>
      <xdr:rowOff>152870</xdr:rowOff>
    </xdr:from>
    <xdr:to>
      <xdr:col>10</xdr:col>
      <xdr:colOff>216958</xdr:colOff>
      <xdr:row>34</xdr:row>
      <xdr:rowOff>168745</xdr:rowOff>
    </xdr:to>
    <xdr:sp macro="" textlink="">
      <xdr:nvSpPr>
        <xdr:cNvPr id="8" name="Rectangle: Rounded Corners 7">
          <a:extLst>
            <a:ext uri="{FF2B5EF4-FFF2-40B4-BE49-F238E27FC236}">
              <a16:creationId xmlns:a16="http://schemas.microsoft.com/office/drawing/2014/main" id="{A441F39E-C1BB-46AA-A44A-052300941E69}"/>
            </a:ext>
          </a:extLst>
        </xdr:cNvPr>
        <xdr:cNvSpPr/>
      </xdr:nvSpPr>
      <xdr:spPr>
        <a:xfrm>
          <a:off x="1034814" y="4386203"/>
          <a:ext cx="5296959" cy="297920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u="sng">
              <a:solidFill>
                <a:sysClr val="windowText" lastClr="000000"/>
              </a:solidFill>
            </a:rPr>
            <a:t>3. Dashboard Structure and In-Depth Data</a:t>
          </a:r>
        </a:p>
        <a:p>
          <a:pPr algn="ctr"/>
          <a:endParaRPr lang="en-GB" sz="1100" u="sng" baseline="0">
            <a:solidFill>
              <a:sysClr val="windowText" lastClr="000000"/>
            </a:solidFill>
          </a:endParaRPr>
        </a:p>
        <a:p>
          <a:pPr algn="ctr"/>
          <a:endParaRPr lang="en-GB" sz="1100" u="none" baseline="0">
            <a:solidFill>
              <a:sysClr val="windowText" lastClr="000000"/>
            </a:solidFill>
          </a:endParaRPr>
        </a:p>
        <a:p>
          <a:pPr algn="l"/>
          <a:endParaRPr lang="en-GB" sz="1100" u="none" baseline="0">
            <a:solidFill>
              <a:sysClr val="windowText" lastClr="000000"/>
            </a:solidFill>
          </a:endParaRPr>
        </a:p>
      </xdr:txBody>
    </xdr:sp>
    <xdr:clientData/>
  </xdr:twoCellAnchor>
  <xdr:twoCellAnchor>
    <xdr:from>
      <xdr:col>12</xdr:col>
      <xdr:colOff>398060</xdr:colOff>
      <xdr:row>25</xdr:row>
      <xdr:rowOff>152504</xdr:rowOff>
    </xdr:from>
    <xdr:to>
      <xdr:col>20</xdr:col>
      <xdr:colOff>398060</xdr:colOff>
      <xdr:row>33</xdr:row>
      <xdr:rowOff>78695</xdr:rowOff>
    </xdr:to>
    <xdr:sp macro="" textlink="">
      <xdr:nvSpPr>
        <xdr:cNvPr id="10" name="Rectangle: Rounded Corners 9">
          <a:extLst>
            <a:ext uri="{FF2B5EF4-FFF2-40B4-BE49-F238E27FC236}">
              <a16:creationId xmlns:a16="http://schemas.microsoft.com/office/drawing/2014/main" id="{0F33939D-B80D-4F2E-B6E1-01823EB439A8}"/>
            </a:ext>
          </a:extLst>
        </xdr:cNvPr>
        <xdr:cNvSpPr/>
      </xdr:nvSpPr>
      <xdr:spPr>
        <a:xfrm>
          <a:off x="7676866" y="5365191"/>
          <a:ext cx="4852537" cy="159425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u="sng">
              <a:solidFill>
                <a:sysClr val="windowText" lastClr="000000"/>
              </a:solidFill>
            </a:rPr>
            <a:t>4. Important Notes</a:t>
          </a:r>
          <a:endParaRPr lang="en-GB" sz="1400" b="1" u="sng" baseline="0">
            <a:solidFill>
              <a:sysClr val="windowText" lastClr="000000"/>
            </a:solidFill>
          </a:endParaRPr>
        </a:p>
        <a:p>
          <a:pPr algn="l"/>
          <a:endParaRPr lang="en-GB" sz="1100" u="none" baseline="0">
            <a:solidFill>
              <a:sysClr val="windowText" lastClr="000000"/>
            </a:solidFill>
          </a:endParaRPr>
        </a:p>
        <a:p>
          <a:pPr algn="l"/>
          <a:r>
            <a:rPr lang="en-GB" sz="1100" b="0" u="none" baseline="0">
              <a:solidFill>
                <a:sysClr val="windowText" lastClr="000000"/>
              </a:solidFill>
            </a:rPr>
            <a:t>- Update </a:t>
          </a:r>
          <a:r>
            <a:rPr lang="en-GB" sz="1100" b="1" u="none" baseline="0">
              <a:solidFill>
                <a:sysClr val="windowText" lastClr="000000"/>
              </a:solidFill>
            </a:rPr>
            <a:t>only</a:t>
          </a:r>
          <a:r>
            <a:rPr lang="en-GB" sz="1100" b="0" u="none" baseline="0">
              <a:solidFill>
                <a:sysClr val="windowText" lastClr="000000"/>
              </a:solidFill>
            </a:rPr>
            <a:t> </a:t>
          </a:r>
          <a:r>
            <a:rPr lang="en-GB" sz="1100" b="1" u="none" baseline="0">
              <a:solidFill>
                <a:sysClr val="windowText" lastClr="000000"/>
              </a:solidFill>
            </a:rPr>
            <a:t>the Data Entry </a:t>
          </a:r>
          <a:r>
            <a:rPr lang="en-GB" sz="1100" b="0" u="none" baseline="0">
              <a:solidFill>
                <a:sysClr val="windowText" lastClr="000000"/>
              </a:solidFill>
            </a:rPr>
            <a:t>sheet</a:t>
          </a:r>
        </a:p>
        <a:p>
          <a:pPr algn="l"/>
          <a:r>
            <a:rPr lang="en-GB" sz="1100" b="0" u="none" baseline="0">
              <a:solidFill>
                <a:sysClr val="windowText" lastClr="000000"/>
              </a:solidFill>
            </a:rPr>
            <a:t>- Dashboard calculations update automatically</a:t>
          </a:r>
        </a:p>
        <a:p>
          <a:pPr algn="l"/>
          <a:r>
            <a:rPr lang="en-GB" sz="1100" b="0" u="none" baseline="0">
              <a:solidFill>
                <a:sysClr val="windowText" lastClr="000000"/>
              </a:solidFill>
            </a:rPr>
            <a:t>- Do not edit formulas or protected cells</a:t>
          </a:r>
        </a:p>
        <a:p>
          <a:pPr algn="l"/>
          <a:r>
            <a:rPr lang="en-GB" sz="1100" b="0" u="none" baseline="0">
              <a:solidFill>
                <a:sysClr val="windowText" lastClr="000000"/>
              </a:solidFill>
            </a:rPr>
            <a:t>- Future months should remain </a:t>
          </a:r>
          <a:r>
            <a:rPr lang="en-GB" sz="1100" b="1" u="none" baseline="0">
              <a:solidFill>
                <a:sysClr val="windowText" lastClr="000000"/>
              </a:solidFill>
            </a:rPr>
            <a:t>0 </a:t>
          </a:r>
          <a:r>
            <a:rPr lang="en-GB" sz="1100" b="0" u="none" baseline="0">
              <a:solidFill>
                <a:sysClr val="windowText" lastClr="000000"/>
              </a:solidFill>
            </a:rPr>
            <a:t>until data is available</a:t>
          </a:r>
        </a:p>
        <a:p>
          <a:pPr algn="l"/>
          <a:r>
            <a:rPr lang="en-GB" sz="1100" b="0" u="none" baseline="0">
              <a:solidFill>
                <a:sysClr val="windowText" lastClr="000000"/>
              </a:solidFill>
            </a:rPr>
            <a:t>- Contact the dashboard owner if structural changes are required </a:t>
          </a:r>
          <a:endParaRPr lang="en-GB" sz="1100" u="none">
            <a:solidFill>
              <a:sysClr val="windowText" lastClr="000000"/>
            </a:solidFill>
          </a:endParaRPr>
        </a:p>
      </xdr:txBody>
    </xdr:sp>
    <xdr:clientData/>
  </xdr:twoCellAnchor>
  <xdr:twoCellAnchor editAs="oneCell">
    <xdr:from>
      <xdr:col>2</xdr:col>
      <xdr:colOff>135230</xdr:colOff>
      <xdr:row>24</xdr:row>
      <xdr:rowOff>152869</xdr:rowOff>
    </xdr:from>
    <xdr:to>
      <xdr:col>10</xdr:col>
      <xdr:colOff>67426</xdr:colOff>
      <xdr:row>31</xdr:row>
      <xdr:rowOff>83108</xdr:rowOff>
    </xdr:to>
    <xdr:pic>
      <xdr:nvPicPr>
        <xdr:cNvPr id="11" name="Picture 10">
          <a:extLst>
            <a:ext uri="{FF2B5EF4-FFF2-40B4-BE49-F238E27FC236}">
              <a16:creationId xmlns:a16="http://schemas.microsoft.com/office/drawing/2014/main" id="{098ACFD4-F5A4-EA06-81B4-209D3EC4DD73}"/>
            </a:ext>
          </a:extLst>
        </xdr:cNvPr>
        <xdr:cNvPicPr>
          <a:picLocks noChangeAspect="1"/>
        </xdr:cNvPicPr>
      </xdr:nvPicPr>
      <xdr:blipFill>
        <a:blip xmlns:r="http://schemas.openxmlformats.org/officeDocument/2006/relationships" r:embed="rId1"/>
        <a:stretch>
          <a:fillRect/>
        </a:stretch>
      </xdr:blipFill>
      <xdr:spPr>
        <a:xfrm>
          <a:off x="1357124" y="5232869"/>
          <a:ext cx="4819772" cy="14057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196103</xdr:colOff>
      <xdr:row>1</xdr:row>
      <xdr:rowOff>89477</xdr:rowOff>
    </xdr:from>
    <xdr:to>
      <xdr:col>3</xdr:col>
      <xdr:colOff>170124</xdr:colOff>
      <xdr:row>5</xdr:row>
      <xdr:rowOff>17640</xdr:rowOff>
    </xdr:to>
    <xdr:pic>
      <xdr:nvPicPr>
        <xdr:cNvPr id="2" name="Picture 1" descr="Football Club Shield Logo in Blue Shiny Frame &amp; Ribbon Stock Vector - Illustration of soccer, name: 114951785">
          <a:extLst>
            <a:ext uri="{FF2B5EF4-FFF2-40B4-BE49-F238E27FC236}">
              <a16:creationId xmlns:a16="http://schemas.microsoft.com/office/drawing/2014/main" id="{35313A1E-8DBA-48F1-8C9A-BBD7A8B8FE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587500" y="304256"/>
          <a:ext cx="853683" cy="911169"/>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xdr:colOff>
      <xdr:row>20</xdr:row>
      <xdr:rowOff>42905</xdr:rowOff>
    </xdr:from>
    <xdr:to>
      <xdr:col>13</xdr:col>
      <xdr:colOff>18956</xdr:colOff>
      <xdr:row>29</xdr:row>
      <xdr:rowOff>9477</xdr:rowOff>
    </xdr:to>
    <xdr:sp macro="" textlink="">
      <xdr:nvSpPr>
        <xdr:cNvPr id="18" name="Rectangle: Rounded Corners 17">
          <a:extLst>
            <a:ext uri="{FF2B5EF4-FFF2-40B4-BE49-F238E27FC236}">
              <a16:creationId xmlns:a16="http://schemas.microsoft.com/office/drawing/2014/main" id="{83A4608A-605E-078C-1D33-839B5D0D1961}"/>
            </a:ext>
          </a:extLst>
        </xdr:cNvPr>
        <xdr:cNvSpPr/>
      </xdr:nvSpPr>
      <xdr:spPr>
        <a:xfrm>
          <a:off x="1819702" y="4345741"/>
          <a:ext cx="5279030" cy="1843139"/>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13</xdr:col>
      <xdr:colOff>170959</xdr:colOff>
      <xdr:row>20</xdr:row>
      <xdr:rowOff>24424</xdr:rowOff>
    </xdr:from>
    <xdr:to>
      <xdr:col>19</xdr:col>
      <xdr:colOff>742830</xdr:colOff>
      <xdr:row>29</xdr:row>
      <xdr:rowOff>95848</xdr:rowOff>
    </xdr:to>
    <xdr:sp macro="" textlink="">
      <xdr:nvSpPr>
        <xdr:cNvPr id="19" name="Rectangle: Rounded Corners 18">
          <a:extLst>
            <a:ext uri="{FF2B5EF4-FFF2-40B4-BE49-F238E27FC236}">
              <a16:creationId xmlns:a16="http://schemas.microsoft.com/office/drawing/2014/main" id="{EACFBA4E-D4F1-4F1F-B30C-8B496F0BF044}"/>
            </a:ext>
          </a:extLst>
        </xdr:cNvPr>
        <xdr:cNvSpPr/>
      </xdr:nvSpPr>
      <xdr:spPr>
        <a:xfrm>
          <a:off x="8258223" y="4253764"/>
          <a:ext cx="4489701" cy="1904537"/>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3</xdr:col>
      <xdr:colOff>221746</xdr:colOff>
      <xdr:row>5</xdr:row>
      <xdr:rowOff>110873</xdr:rowOff>
    </xdr:from>
    <xdr:to>
      <xdr:col>6</xdr:col>
      <xdr:colOff>282222</xdr:colOff>
      <xdr:row>12</xdr:row>
      <xdr:rowOff>60475</xdr:rowOff>
    </xdr:to>
    <xdr:grpSp>
      <xdr:nvGrpSpPr>
        <xdr:cNvPr id="16" name="Group 15">
          <a:extLst>
            <a:ext uri="{FF2B5EF4-FFF2-40B4-BE49-F238E27FC236}">
              <a16:creationId xmlns:a16="http://schemas.microsoft.com/office/drawing/2014/main" id="{97EB0495-1DAA-040B-4BC2-CA283EBB0EEA}"/>
            </a:ext>
          </a:extLst>
        </xdr:cNvPr>
        <xdr:cNvGrpSpPr/>
      </xdr:nvGrpSpPr>
      <xdr:grpSpPr>
        <a:xfrm>
          <a:off x="2515009" y="1334205"/>
          <a:ext cx="1900237" cy="1417322"/>
          <a:chOff x="1814286" y="1375142"/>
          <a:chExt cx="1568958" cy="1242972"/>
        </a:xfrm>
      </xdr:grpSpPr>
      <xdr:grpSp>
        <xdr:nvGrpSpPr>
          <xdr:cNvPr id="4" name="Group 3">
            <a:extLst>
              <a:ext uri="{FF2B5EF4-FFF2-40B4-BE49-F238E27FC236}">
                <a16:creationId xmlns:a16="http://schemas.microsoft.com/office/drawing/2014/main" id="{C9DE7FF4-0368-D5B8-DD31-FC4E0698F204}"/>
              </a:ext>
            </a:extLst>
          </xdr:cNvPr>
          <xdr:cNvGrpSpPr/>
        </xdr:nvGrpSpPr>
        <xdr:grpSpPr>
          <a:xfrm>
            <a:off x="1814286" y="1375142"/>
            <a:ext cx="1568958" cy="1242972"/>
            <a:chOff x="1829803" y="1372224"/>
            <a:chExt cx="1579302" cy="1226262"/>
          </a:xfrm>
        </xdr:grpSpPr>
        <xdr:sp macro="" textlink="Dashboard!BM3">
          <xdr:nvSpPr>
            <xdr:cNvPr id="22" name="Rectangle: Rounded Corners 21">
              <a:extLst>
                <a:ext uri="{FF2B5EF4-FFF2-40B4-BE49-F238E27FC236}">
                  <a16:creationId xmlns:a16="http://schemas.microsoft.com/office/drawing/2014/main" id="{9B1F97B7-6085-4A04-A3E0-A62B9948AE12}"/>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DB9A80-0510-479B-B329-DF4EA8DF617D}" type="TxLink">
                <a:rPr lang="en-US" sz="2400" b="1" i="0" u="none" strike="noStrike">
                  <a:solidFill>
                    <a:srgbClr val="002060"/>
                  </a:solidFill>
                  <a:latin typeface="Aptos Narrow"/>
                  <a:cs typeface="Segoe UI" panose="020B0502040204020203" pitchFamily="34" charset="0"/>
                </a:rPr>
                <a:pPr algn="ctr"/>
                <a:t>242,000</a:t>
              </a:fld>
              <a:endParaRPr lang="en-GB" sz="41300" b="1">
                <a:solidFill>
                  <a:srgbClr val="002060"/>
                </a:solidFill>
                <a:latin typeface="Segoe UI" panose="020B0502040204020203" pitchFamily="34" charset="0"/>
                <a:cs typeface="Segoe UI" panose="020B0502040204020203" pitchFamily="34" charset="0"/>
              </a:endParaRPr>
            </a:p>
          </xdr:txBody>
        </xdr:sp>
        <xdr:sp macro="" textlink="$BO$3">
          <xdr:nvSpPr>
            <xdr:cNvPr id="3" name="Rectangle 2">
              <a:extLst>
                <a:ext uri="{FF2B5EF4-FFF2-40B4-BE49-F238E27FC236}">
                  <a16:creationId xmlns:a16="http://schemas.microsoft.com/office/drawing/2014/main" id="{20C9284A-B3A9-D2F3-A7A4-7F5AD5539B5B}"/>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DEEA08-784D-4202-8E10-DD547700B638}" type="TxLink">
                <a:rPr lang="en-US" sz="1100" b="0" i="0" u="none" strike="noStrike">
                  <a:solidFill>
                    <a:srgbClr val="000000"/>
                  </a:solidFill>
                  <a:latin typeface="Arial Unicode MS"/>
                </a:rPr>
                <a:pPr algn="ctr"/>
                <a:t>▲ 0.29%</a:t>
              </a:fld>
              <a:endParaRPr lang="en-GB" sz="1600" b="1">
                <a:solidFill>
                  <a:schemeClr val="tx2"/>
                </a:solidFill>
              </a:endParaRPr>
            </a:p>
          </xdr:txBody>
        </xdr:sp>
      </xdr:grpSp>
      <xdr:sp macro="" textlink="$BK$3">
        <xdr:nvSpPr>
          <xdr:cNvPr id="15" name="Rectangle 14">
            <a:extLst>
              <a:ext uri="{FF2B5EF4-FFF2-40B4-BE49-F238E27FC236}">
                <a16:creationId xmlns:a16="http://schemas.microsoft.com/office/drawing/2014/main" id="{C39870AF-8260-A6B4-AFCC-16EC7560045D}"/>
              </a:ext>
            </a:extLst>
          </xdr:cNvPr>
          <xdr:cNvSpPr/>
        </xdr:nvSpPr>
        <xdr:spPr>
          <a:xfrm>
            <a:off x="1859754" y="1455488"/>
            <a:ext cx="1468186" cy="34883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96E3BB-30AE-43D5-9D2D-0C72BC74BDD7}" type="TxLink">
              <a:rPr lang="en-US" sz="1050" b="1" i="0" u="none" strike="noStrike">
                <a:solidFill>
                  <a:srgbClr val="000000"/>
                </a:solidFill>
                <a:latin typeface="Segoe UI"/>
                <a:cs typeface="Segoe UI"/>
              </a:rPr>
              <a:pPr algn="ctr"/>
              <a:t>Followers</a:t>
            </a:fld>
            <a:endParaRPr lang="en-GB" sz="1050" b="1"/>
          </a:p>
        </xdr:txBody>
      </xdr:sp>
    </xdr:grpSp>
    <xdr:clientData/>
  </xdr:twoCellAnchor>
  <xdr:twoCellAnchor>
    <xdr:from>
      <xdr:col>6</xdr:col>
      <xdr:colOff>433413</xdr:colOff>
      <xdr:row>5</xdr:row>
      <xdr:rowOff>110873</xdr:rowOff>
    </xdr:from>
    <xdr:to>
      <xdr:col>10</xdr:col>
      <xdr:colOff>0</xdr:colOff>
      <xdr:row>12</xdr:row>
      <xdr:rowOff>47876</xdr:rowOff>
    </xdr:to>
    <xdr:grpSp>
      <xdr:nvGrpSpPr>
        <xdr:cNvPr id="38" name="Group 37">
          <a:extLst>
            <a:ext uri="{FF2B5EF4-FFF2-40B4-BE49-F238E27FC236}">
              <a16:creationId xmlns:a16="http://schemas.microsoft.com/office/drawing/2014/main" id="{E1F7AB57-EE00-9768-1E10-A85B5DCFCC67}"/>
            </a:ext>
          </a:extLst>
        </xdr:cNvPr>
        <xdr:cNvGrpSpPr/>
      </xdr:nvGrpSpPr>
      <xdr:grpSpPr>
        <a:xfrm>
          <a:off x="4566437" y="1334205"/>
          <a:ext cx="1840104" cy="1398373"/>
          <a:chOff x="3719286" y="1354984"/>
          <a:chExt cx="1568958" cy="1242972"/>
        </a:xfrm>
      </xdr:grpSpPr>
      <xdr:grpSp>
        <xdr:nvGrpSpPr>
          <xdr:cNvPr id="31" name="Group 30">
            <a:extLst>
              <a:ext uri="{FF2B5EF4-FFF2-40B4-BE49-F238E27FC236}">
                <a16:creationId xmlns:a16="http://schemas.microsoft.com/office/drawing/2014/main" id="{6B052E36-4D7A-B0C0-04D9-2294B35E7CEC}"/>
              </a:ext>
            </a:extLst>
          </xdr:cNvPr>
          <xdr:cNvGrpSpPr/>
        </xdr:nvGrpSpPr>
        <xdr:grpSpPr>
          <a:xfrm>
            <a:off x="3719286" y="1354984"/>
            <a:ext cx="1568958" cy="1242972"/>
            <a:chOff x="1829803" y="1372224"/>
            <a:chExt cx="1579302" cy="1226262"/>
          </a:xfrm>
        </xdr:grpSpPr>
        <xdr:sp macro="" textlink="Dashboard!BM4">
          <xdr:nvSpPr>
            <xdr:cNvPr id="33" name="Rectangle: Rounded Corners 32">
              <a:extLst>
                <a:ext uri="{FF2B5EF4-FFF2-40B4-BE49-F238E27FC236}">
                  <a16:creationId xmlns:a16="http://schemas.microsoft.com/office/drawing/2014/main" id="{B1B48AEB-6412-CA03-548A-6A9A08F92DA4}"/>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E3FDE-CBDA-4E2B-B98D-9F2DB3D4D480}" type="TxLink">
                <a:rPr lang="en-US" sz="2400" b="1" i="0" u="none" strike="noStrike">
                  <a:solidFill>
                    <a:srgbClr val="002060"/>
                  </a:solidFill>
                  <a:latin typeface="Aptos Narrow"/>
                  <a:cs typeface="Segoe UI" panose="020B0502040204020203" pitchFamily="34" charset="0"/>
                </a:rPr>
                <a:pPr algn="ctr"/>
                <a:t>3,900,000</a:t>
              </a:fld>
              <a:endParaRPr lang="en-GB" sz="2400" b="1">
                <a:solidFill>
                  <a:srgbClr val="002060"/>
                </a:solidFill>
                <a:latin typeface="Segoe UI" panose="020B0502040204020203" pitchFamily="34" charset="0"/>
                <a:cs typeface="Segoe UI" panose="020B0502040204020203" pitchFamily="34" charset="0"/>
              </a:endParaRPr>
            </a:p>
          </xdr:txBody>
        </xdr:sp>
        <xdr:sp macro="" textlink="$BO$4">
          <xdr:nvSpPr>
            <xdr:cNvPr id="34" name="Rectangle 33">
              <a:extLst>
                <a:ext uri="{FF2B5EF4-FFF2-40B4-BE49-F238E27FC236}">
                  <a16:creationId xmlns:a16="http://schemas.microsoft.com/office/drawing/2014/main" id="{D02CF9B1-C353-C6F2-0A0F-D36A0F7F4CAC}"/>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1A905A-BC5C-464C-8AF1-2BD5E9697789}" type="TxLink">
                <a:rPr lang="en-US" sz="1000" b="0" i="0" u="none" strike="noStrike">
                  <a:solidFill>
                    <a:srgbClr val="000000"/>
                  </a:solidFill>
                  <a:latin typeface="Arial Unicode MS"/>
                </a:rPr>
                <a:pPr algn="ctr"/>
                <a:t>▼ 11.36%</a:t>
              </a:fld>
              <a:endParaRPr lang="en-GB" sz="1600" b="1">
                <a:solidFill>
                  <a:schemeClr val="tx2"/>
                </a:solidFill>
              </a:endParaRPr>
            </a:p>
          </xdr:txBody>
        </xdr:sp>
      </xdr:grpSp>
      <xdr:sp macro="" textlink="$BK$4">
        <xdr:nvSpPr>
          <xdr:cNvPr id="32" name="Rectangle 31">
            <a:extLst>
              <a:ext uri="{FF2B5EF4-FFF2-40B4-BE49-F238E27FC236}">
                <a16:creationId xmlns:a16="http://schemas.microsoft.com/office/drawing/2014/main" id="{76800C6A-3658-978A-4AFA-3D1E256D3193}"/>
              </a:ext>
            </a:extLst>
          </xdr:cNvPr>
          <xdr:cNvSpPr/>
        </xdr:nvSpPr>
        <xdr:spPr>
          <a:xfrm>
            <a:off x="3981348" y="1501827"/>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2A9315-305D-4EEF-BE17-ECEC9F2D853C}" type="TxLink">
              <a:rPr lang="en-US" sz="1100" b="1" i="0" u="none" strike="noStrike">
                <a:solidFill>
                  <a:schemeClr val="tx2"/>
                </a:solidFill>
                <a:latin typeface="Segoe UI"/>
                <a:cs typeface="Segoe UI"/>
              </a:rPr>
              <a:pPr algn="ctr"/>
              <a:t>Impressions</a:t>
            </a:fld>
            <a:endParaRPr lang="en-GB" sz="1100" b="1">
              <a:solidFill>
                <a:schemeClr val="tx2"/>
              </a:solidFill>
            </a:endParaRPr>
          </a:p>
        </xdr:txBody>
      </xdr:sp>
    </xdr:grpSp>
    <xdr:clientData/>
  </xdr:twoCellAnchor>
  <xdr:twoCellAnchor>
    <xdr:from>
      <xdr:col>10</xdr:col>
      <xdr:colOff>127144</xdr:colOff>
      <xdr:row>5</xdr:row>
      <xdr:rowOff>119817</xdr:rowOff>
    </xdr:from>
    <xdr:to>
      <xdr:col>12</xdr:col>
      <xdr:colOff>674734</xdr:colOff>
      <xdr:row>12</xdr:row>
      <xdr:rowOff>92223</xdr:rowOff>
    </xdr:to>
    <xdr:grpSp>
      <xdr:nvGrpSpPr>
        <xdr:cNvPr id="84" name="Group 83">
          <a:extLst>
            <a:ext uri="{FF2B5EF4-FFF2-40B4-BE49-F238E27FC236}">
              <a16:creationId xmlns:a16="http://schemas.microsoft.com/office/drawing/2014/main" id="{9F603951-495E-B9A9-D200-A036258C7A4C}"/>
            </a:ext>
          </a:extLst>
        </xdr:cNvPr>
        <xdr:cNvGrpSpPr/>
      </xdr:nvGrpSpPr>
      <xdr:grpSpPr>
        <a:xfrm>
          <a:off x="6530510" y="1349499"/>
          <a:ext cx="1910926" cy="1430601"/>
          <a:chOff x="5835952" y="1380874"/>
          <a:chExt cx="1568958" cy="1242972"/>
        </a:xfrm>
      </xdr:grpSpPr>
      <xdr:grpSp>
        <xdr:nvGrpSpPr>
          <xdr:cNvPr id="40" name="Group 39">
            <a:extLst>
              <a:ext uri="{FF2B5EF4-FFF2-40B4-BE49-F238E27FC236}">
                <a16:creationId xmlns:a16="http://schemas.microsoft.com/office/drawing/2014/main" id="{802AFD42-7BAD-2010-ADB7-86099EFBA3C2}"/>
              </a:ext>
            </a:extLst>
          </xdr:cNvPr>
          <xdr:cNvGrpSpPr/>
        </xdr:nvGrpSpPr>
        <xdr:grpSpPr>
          <a:xfrm>
            <a:off x="5835952" y="1380874"/>
            <a:ext cx="1568958" cy="1242972"/>
            <a:chOff x="1829803" y="1372224"/>
            <a:chExt cx="1579302" cy="1226262"/>
          </a:xfrm>
        </xdr:grpSpPr>
        <xdr:sp macro="" textlink="Dashboard!BM5">
          <xdr:nvSpPr>
            <xdr:cNvPr id="42" name="Rectangle: Rounded Corners 41">
              <a:extLst>
                <a:ext uri="{FF2B5EF4-FFF2-40B4-BE49-F238E27FC236}">
                  <a16:creationId xmlns:a16="http://schemas.microsoft.com/office/drawing/2014/main" id="{9182F7BF-E080-76C0-9082-E5CEFEFE6258}"/>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9D6767-FB1C-47F5-BF58-81FAEF1899AE}" type="TxLink">
                <a:rPr lang="en-US" sz="2400" b="1" i="0" u="none" strike="noStrike">
                  <a:solidFill>
                    <a:srgbClr val="002060"/>
                  </a:solidFill>
                  <a:latin typeface="Aptos Narrow"/>
                  <a:cs typeface="Segoe UI" panose="020B0502040204020203" pitchFamily="34" charset="0"/>
                </a:rPr>
                <a:pPr algn="ctr"/>
                <a:t>4.6%</a:t>
              </a:fld>
              <a:endParaRPr lang="en-GB" sz="2400" b="1">
                <a:solidFill>
                  <a:srgbClr val="002060"/>
                </a:solidFill>
                <a:latin typeface="Segoe UI" panose="020B0502040204020203" pitchFamily="34" charset="0"/>
                <a:cs typeface="Segoe UI" panose="020B0502040204020203" pitchFamily="34" charset="0"/>
              </a:endParaRPr>
            </a:p>
          </xdr:txBody>
        </xdr:sp>
        <xdr:sp macro="" textlink="$BO$5">
          <xdr:nvSpPr>
            <xdr:cNvPr id="43" name="Rectangle 42">
              <a:extLst>
                <a:ext uri="{FF2B5EF4-FFF2-40B4-BE49-F238E27FC236}">
                  <a16:creationId xmlns:a16="http://schemas.microsoft.com/office/drawing/2014/main" id="{4A35DE22-80AE-7692-2720-81D233B9CA2A}"/>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1588B1-C6ED-4251-A26A-9661B111373A}" type="TxLink">
                <a:rPr lang="en-US" sz="1100" b="0" i="0" u="none" strike="noStrike">
                  <a:solidFill>
                    <a:srgbClr val="000000"/>
                  </a:solidFill>
                  <a:latin typeface="Arial Unicode MS"/>
                </a:rPr>
                <a:pPr algn="ctr"/>
                <a:t>▲ 9.52%</a:t>
              </a:fld>
              <a:endParaRPr lang="en-GB" sz="1600" b="1">
                <a:solidFill>
                  <a:schemeClr val="tx2"/>
                </a:solidFill>
              </a:endParaRPr>
            </a:p>
          </xdr:txBody>
        </xdr:sp>
      </xdr:grpSp>
      <xdr:sp macro="" textlink="$BK$5">
        <xdr:nvSpPr>
          <xdr:cNvPr id="41" name="Rectangle 40">
            <a:extLst>
              <a:ext uri="{FF2B5EF4-FFF2-40B4-BE49-F238E27FC236}">
                <a16:creationId xmlns:a16="http://schemas.microsoft.com/office/drawing/2014/main" id="{40C1FB18-0AB8-C107-5BB0-24DAEFD24053}"/>
              </a:ext>
            </a:extLst>
          </xdr:cNvPr>
          <xdr:cNvSpPr/>
        </xdr:nvSpPr>
        <xdr:spPr>
          <a:xfrm>
            <a:off x="5936744" y="1547876"/>
            <a:ext cx="1401033" cy="24625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5DBAAE-D105-4EBC-86B5-CB2511803C7E}" type="TxLink">
              <a:rPr lang="en-US" sz="1100" b="1" i="0" u="none" strike="noStrike">
                <a:solidFill>
                  <a:schemeClr val="tx2"/>
                </a:solidFill>
                <a:latin typeface="Segoe UI"/>
                <a:cs typeface="Segoe UI"/>
              </a:rPr>
              <a:pPr algn="ctr"/>
              <a:t>Engagement rate</a:t>
            </a:fld>
            <a:endParaRPr lang="en-GB" sz="1100" b="1">
              <a:solidFill>
                <a:schemeClr val="tx2"/>
              </a:solidFill>
            </a:endParaRPr>
          </a:p>
        </xdr:txBody>
      </xdr:sp>
    </xdr:grpSp>
    <xdr:clientData/>
  </xdr:twoCellAnchor>
  <xdr:twoCellAnchor>
    <xdr:from>
      <xdr:col>12</xdr:col>
      <xdr:colOff>814111</xdr:colOff>
      <xdr:row>5</xdr:row>
      <xdr:rowOff>92327</xdr:rowOff>
    </xdr:from>
    <xdr:to>
      <xdr:col>15</xdr:col>
      <xdr:colOff>465071</xdr:colOff>
      <xdr:row>12</xdr:row>
      <xdr:rowOff>107324</xdr:rowOff>
    </xdr:to>
    <xdr:grpSp>
      <xdr:nvGrpSpPr>
        <xdr:cNvPr id="85" name="Group 84">
          <a:extLst>
            <a:ext uri="{FF2B5EF4-FFF2-40B4-BE49-F238E27FC236}">
              <a16:creationId xmlns:a16="http://schemas.microsoft.com/office/drawing/2014/main" id="{B544146F-5B79-832F-7B9A-FEC2197286CA}"/>
            </a:ext>
          </a:extLst>
        </xdr:cNvPr>
        <xdr:cNvGrpSpPr/>
      </xdr:nvGrpSpPr>
      <xdr:grpSpPr>
        <a:xfrm>
          <a:off x="8574463" y="1318834"/>
          <a:ext cx="1888509" cy="1473192"/>
          <a:chOff x="7660317" y="1401032"/>
          <a:chExt cx="1568958" cy="1242972"/>
        </a:xfrm>
      </xdr:grpSpPr>
      <xdr:grpSp>
        <xdr:nvGrpSpPr>
          <xdr:cNvPr id="44" name="Group 43">
            <a:extLst>
              <a:ext uri="{FF2B5EF4-FFF2-40B4-BE49-F238E27FC236}">
                <a16:creationId xmlns:a16="http://schemas.microsoft.com/office/drawing/2014/main" id="{D8A7C590-15F8-48E9-B252-3D36CB7EA200}"/>
              </a:ext>
            </a:extLst>
          </xdr:cNvPr>
          <xdr:cNvGrpSpPr/>
        </xdr:nvGrpSpPr>
        <xdr:grpSpPr>
          <a:xfrm>
            <a:off x="7660317" y="1401032"/>
            <a:ext cx="1568958" cy="1242972"/>
            <a:chOff x="1829803" y="1372224"/>
            <a:chExt cx="1579302" cy="1226262"/>
          </a:xfrm>
        </xdr:grpSpPr>
        <xdr:sp macro="" textlink="Dashboard!BM6">
          <xdr:nvSpPr>
            <xdr:cNvPr id="45" name="Rectangle: Rounded Corners 44">
              <a:extLst>
                <a:ext uri="{FF2B5EF4-FFF2-40B4-BE49-F238E27FC236}">
                  <a16:creationId xmlns:a16="http://schemas.microsoft.com/office/drawing/2014/main" id="{5613CDD7-7EBC-F6A9-89BA-9016BC11C0C7}"/>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AFEC1A-4774-41FC-B172-E9B433C6C569}" type="TxLink">
                <a:rPr lang="en-US" sz="2400" b="1" i="0" u="none" strike="noStrike">
                  <a:solidFill>
                    <a:srgbClr val="002060"/>
                  </a:solidFill>
                  <a:latin typeface="Aptos Narrow"/>
                  <a:cs typeface="Segoe UI" panose="020B0502040204020203" pitchFamily="34" charset="0"/>
                </a:rPr>
                <a:pPr algn="ctr"/>
                <a:t>183,400</a:t>
              </a:fld>
              <a:endParaRPr lang="en-GB" sz="2400" b="1">
                <a:solidFill>
                  <a:srgbClr val="002060"/>
                </a:solidFill>
                <a:latin typeface="Segoe UI" panose="020B0502040204020203" pitchFamily="34" charset="0"/>
                <a:cs typeface="Segoe UI" panose="020B0502040204020203" pitchFamily="34" charset="0"/>
              </a:endParaRPr>
            </a:p>
          </xdr:txBody>
        </xdr:sp>
        <xdr:sp macro="" textlink="$BO$6">
          <xdr:nvSpPr>
            <xdr:cNvPr id="46" name="Rectangle 45">
              <a:extLst>
                <a:ext uri="{FF2B5EF4-FFF2-40B4-BE49-F238E27FC236}">
                  <a16:creationId xmlns:a16="http://schemas.microsoft.com/office/drawing/2014/main" id="{3D2A6AD1-434B-A133-4C9C-92E4EE12428F}"/>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057B1B-7DEC-4460-A808-D61D259B33BE}" type="TxLink">
                <a:rPr lang="en-US" sz="1100" b="0" i="0" u="none" strike="noStrike">
                  <a:solidFill>
                    <a:srgbClr val="000000"/>
                  </a:solidFill>
                  <a:latin typeface="Arial Unicode MS"/>
                </a:rPr>
                <a:pPr algn="ctr"/>
                <a:t>▼ 3.32%</a:t>
              </a:fld>
              <a:endParaRPr lang="en-GB" sz="1600" b="1">
                <a:solidFill>
                  <a:schemeClr val="tx2"/>
                </a:solidFill>
              </a:endParaRPr>
            </a:p>
          </xdr:txBody>
        </xdr:sp>
      </xdr:grpSp>
      <xdr:sp macro="" textlink="$BK$6">
        <xdr:nvSpPr>
          <xdr:cNvPr id="47" name="Rectangle 46">
            <a:extLst>
              <a:ext uri="{FF2B5EF4-FFF2-40B4-BE49-F238E27FC236}">
                <a16:creationId xmlns:a16="http://schemas.microsoft.com/office/drawing/2014/main" id="{FB4DEB11-C206-4039-BF00-297A2342A724}"/>
              </a:ext>
            </a:extLst>
          </xdr:cNvPr>
          <xdr:cNvSpPr/>
        </xdr:nvSpPr>
        <xdr:spPr>
          <a:xfrm>
            <a:off x="7902222" y="1532064"/>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DAD81B-45E8-4AB0-882D-64AC008DC74D}" type="TxLink">
              <a:rPr lang="en-US" sz="1100" b="1" i="0" u="none" strike="noStrike">
                <a:solidFill>
                  <a:schemeClr val="tx2"/>
                </a:solidFill>
                <a:latin typeface="Segoe UI"/>
                <a:cs typeface="Segoe UI"/>
              </a:rPr>
              <a:pPr algn="ctr"/>
              <a:t>Engagements</a:t>
            </a:fld>
            <a:endParaRPr lang="en-GB" sz="1100" b="1">
              <a:solidFill>
                <a:schemeClr val="tx2"/>
              </a:solidFill>
            </a:endParaRPr>
          </a:p>
        </xdr:txBody>
      </xdr:sp>
    </xdr:grpSp>
    <xdr:clientData/>
  </xdr:twoCellAnchor>
  <xdr:twoCellAnchor>
    <xdr:from>
      <xdr:col>15</xdr:col>
      <xdr:colOff>604485</xdr:colOff>
      <xdr:row>5</xdr:row>
      <xdr:rowOff>110975</xdr:rowOff>
    </xdr:from>
    <xdr:to>
      <xdr:col>18</xdr:col>
      <xdr:colOff>634121</xdr:colOff>
      <xdr:row>12</xdr:row>
      <xdr:rowOff>117585</xdr:rowOff>
    </xdr:to>
    <xdr:grpSp>
      <xdr:nvGrpSpPr>
        <xdr:cNvPr id="86" name="Group 85">
          <a:extLst>
            <a:ext uri="{FF2B5EF4-FFF2-40B4-BE49-F238E27FC236}">
              <a16:creationId xmlns:a16="http://schemas.microsoft.com/office/drawing/2014/main" id="{0B6C9523-0F28-1E16-EB05-9AE3B8E13080}"/>
            </a:ext>
          </a:extLst>
        </xdr:cNvPr>
        <xdr:cNvGrpSpPr/>
      </xdr:nvGrpSpPr>
      <xdr:grpSpPr>
        <a:xfrm>
          <a:off x="10596036" y="1334307"/>
          <a:ext cx="1875746" cy="1474330"/>
          <a:chOff x="9827381" y="1380873"/>
          <a:chExt cx="1568958" cy="1242972"/>
        </a:xfrm>
      </xdr:grpSpPr>
      <xdr:grpSp>
        <xdr:nvGrpSpPr>
          <xdr:cNvPr id="52" name="Group 51">
            <a:extLst>
              <a:ext uri="{FF2B5EF4-FFF2-40B4-BE49-F238E27FC236}">
                <a16:creationId xmlns:a16="http://schemas.microsoft.com/office/drawing/2014/main" id="{229C34D4-E6D9-E0BE-1997-9FC95D2BDE00}"/>
              </a:ext>
            </a:extLst>
          </xdr:cNvPr>
          <xdr:cNvGrpSpPr/>
        </xdr:nvGrpSpPr>
        <xdr:grpSpPr>
          <a:xfrm>
            <a:off x="9827381" y="1380873"/>
            <a:ext cx="1568958" cy="1242972"/>
            <a:chOff x="1829803" y="1372224"/>
            <a:chExt cx="1579302" cy="1226262"/>
          </a:xfrm>
        </xdr:grpSpPr>
        <xdr:sp macro="" textlink="Dashboard!BM7">
          <xdr:nvSpPr>
            <xdr:cNvPr id="54" name="Rectangle: Rounded Corners 53">
              <a:extLst>
                <a:ext uri="{FF2B5EF4-FFF2-40B4-BE49-F238E27FC236}">
                  <a16:creationId xmlns:a16="http://schemas.microsoft.com/office/drawing/2014/main" id="{1C032168-197A-3EA3-5305-15097BF43226}"/>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E379F6-1F30-4602-B94B-5FE33105C728}" type="TxLink">
                <a:rPr lang="en-US" sz="2400" b="1" i="0" u="none" strike="noStrike">
                  <a:solidFill>
                    <a:srgbClr val="002060"/>
                  </a:solidFill>
                  <a:latin typeface="Aptos Narrow"/>
                  <a:cs typeface="Segoe UI" panose="020B0502040204020203" pitchFamily="34" charset="0"/>
                </a:rPr>
                <a:pPr algn="ctr"/>
                <a:t>33,900</a:t>
              </a:fld>
              <a:endParaRPr lang="en-GB" sz="2400" b="1">
                <a:solidFill>
                  <a:srgbClr val="002060"/>
                </a:solidFill>
                <a:latin typeface="Segoe UI" panose="020B0502040204020203" pitchFamily="34" charset="0"/>
                <a:cs typeface="Segoe UI" panose="020B0502040204020203" pitchFamily="34" charset="0"/>
              </a:endParaRPr>
            </a:p>
          </xdr:txBody>
        </xdr:sp>
        <xdr:sp macro="" textlink="$BO$7">
          <xdr:nvSpPr>
            <xdr:cNvPr id="55" name="Rectangle 54">
              <a:extLst>
                <a:ext uri="{FF2B5EF4-FFF2-40B4-BE49-F238E27FC236}">
                  <a16:creationId xmlns:a16="http://schemas.microsoft.com/office/drawing/2014/main" id="{9406C953-2445-CA91-8CC3-632DE616186B}"/>
                </a:ext>
              </a:extLst>
            </xdr:cNvPr>
            <xdr:cNvSpPr/>
          </xdr:nvSpPr>
          <xdr:spPr>
            <a:xfrm>
              <a:off x="2146130" y="2177144"/>
              <a:ext cx="860362" cy="29114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00F792-9E7D-4C7F-B04F-A66F052BC163}" type="TxLink">
                <a:rPr lang="en-US" sz="1100" b="0" i="0" u="none" strike="noStrike">
                  <a:solidFill>
                    <a:srgbClr val="000000"/>
                  </a:solidFill>
                  <a:latin typeface="Arial Unicode MS"/>
                </a:rPr>
                <a:pPr algn="ctr"/>
                <a:t>▼ 12.85%</a:t>
              </a:fld>
              <a:endParaRPr lang="en-GB" sz="1600" b="1">
                <a:solidFill>
                  <a:schemeClr val="tx2"/>
                </a:solidFill>
              </a:endParaRPr>
            </a:p>
          </xdr:txBody>
        </xdr:sp>
      </xdr:grpSp>
      <xdr:sp macro="" textlink="$BK$7">
        <xdr:nvSpPr>
          <xdr:cNvPr id="53" name="Rectangle 52">
            <a:extLst>
              <a:ext uri="{FF2B5EF4-FFF2-40B4-BE49-F238E27FC236}">
                <a16:creationId xmlns:a16="http://schemas.microsoft.com/office/drawing/2014/main" id="{A7FE106F-1429-A15D-3AAC-3E246BB95A57}"/>
              </a:ext>
            </a:extLst>
          </xdr:cNvPr>
          <xdr:cNvSpPr/>
        </xdr:nvSpPr>
        <xdr:spPr>
          <a:xfrm>
            <a:off x="10079363" y="1487399"/>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197230-BC61-4198-A37E-7AFAAD57993D}" type="TxLink">
              <a:rPr lang="en-US" sz="1100" b="1" i="0" u="none" strike="noStrike">
                <a:solidFill>
                  <a:schemeClr val="tx2"/>
                </a:solidFill>
                <a:latin typeface="Segoe UI"/>
                <a:cs typeface="Segoe UI"/>
              </a:rPr>
              <a:pPr algn="ctr"/>
              <a:t>Profile visits</a:t>
            </a:fld>
            <a:endParaRPr lang="en-GB" sz="1100" b="1">
              <a:solidFill>
                <a:schemeClr val="tx2"/>
              </a:solidFill>
            </a:endParaRPr>
          </a:p>
        </xdr:txBody>
      </xdr:sp>
    </xdr:grpSp>
    <xdr:clientData/>
  </xdr:twoCellAnchor>
  <xdr:twoCellAnchor>
    <xdr:from>
      <xdr:col>3</xdr:col>
      <xdr:colOff>216788</xdr:colOff>
      <xdr:row>12</xdr:row>
      <xdr:rowOff>170687</xdr:rowOff>
    </xdr:from>
    <xdr:to>
      <xdr:col>6</xdr:col>
      <xdr:colOff>312295</xdr:colOff>
      <xdr:row>19</xdr:row>
      <xdr:rowOff>145738</xdr:rowOff>
    </xdr:to>
    <xdr:grpSp>
      <xdr:nvGrpSpPr>
        <xdr:cNvPr id="59" name="Group 58">
          <a:extLst>
            <a:ext uri="{FF2B5EF4-FFF2-40B4-BE49-F238E27FC236}">
              <a16:creationId xmlns:a16="http://schemas.microsoft.com/office/drawing/2014/main" id="{402CBDB9-4AE2-45FE-8D6D-E3F78A1A7211}"/>
            </a:ext>
          </a:extLst>
        </xdr:cNvPr>
        <xdr:cNvGrpSpPr/>
      </xdr:nvGrpSpPr>
      <xdr:grpSpPr>
        <a:xfrm>
          <a:off x="2516401" y="2858564"/>
          <a:ext cx="1935268" cy="1433246"/>
          <a:chOff x="3719286" y="1354984"/>
          <a:chExt cx="1568958" cy="1242972"/>
        </a:xfrm>
      </xdr:grpSpPr>
      <xdr:grpSp>
        <xdr:nvGrpSpPr>
          <xdr:cNvPr id="60" name="Group 59">
            <a:extLst>
              <a:ext uri="{FF2B5EF4-FFF2-40B4-BE49-F238E27FC236}">
                <a16:creationId xmlns:a16="http://schemas.microsoft.com/office/drawing/2014/main" id="{11D7EA2B-2E1E-5B5E-2B82-AF76FBBD72FF}"/>
              </a:ext>
            </a:extLst>
          </xdr:cNvPr>
          <xdr:cNvGrpSpPr/>
        </xdr:nvGrpSpPr>
        <xdr:grpSpPr>
          <a:xfrm>
            <a:off x="3719286" y="1354984"/>
            <a:ext cx="1568958" cy="1242972"/>
            <a:chOff x="1829803" y="1372224"/>
            <a:chExt cx="1579302" cy="1226262"/>
          </a:xfrm>
        </xdr:grpSpPr>
        <xdr:sp macro="" textlink="Dashboard!BM8">
          <xdr:nvSpPr>
            <xdr:cNvPr id="62" name="Rectangle: Rounded Corners 61">
              <a:extLst>
                <a:ext uri="{FF2B5EF4-FFF2-40B4-BE49-F238E27FC236}">
                  <a16:creationId xmlns:a16="http://schemas.microsoft.com/office/drawing/2014/main" id="{971D65BB-2631-DA58-833F-E984216C62BA}"/>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64BF63-1527-4BC7-ABA7-3C0F82FDEBC8}" type="TxLink">
                <a:rPr lang="en-US" sz="2400" b="1" i="0" u="none" strike="noStrike">
                  <a:solidFill>
                    <a:srgbClr val="002060"/>
                  </a:solidFill>
                  <a:latin typeface="Aptos Narrow"/>
                  <a:cs typeface="Segoe UI" panose="020B0502040204020203" pitchFamily="34" charset="0"/>
                </a:rPr>
                <a:pPr algn="ctr"/>
                <a:t>3,900</a:t>
              </a:fld>
              <a:endParaRPr lang="en-GB" sz="2400" b="1">
                <a:solidFill>
                  <a:srgbClr val="002060"/>
                </a:solidFill>
                <a:latin typeface="Segoe UI" panose="020B0502040204020203" pitchFamily="34" charset="0"/>
                <a:cs typeface="Segoe UI" panose="020B0502040204020203" pitchFamily="34" charset="0"/>
              </a:endParaRPr>
            </a:p>
          </xdr:txBody>
        </xdr:sp>
        <xdr:sp macro="" textlink="$BO$8">
          <xdr:nvSpPr>
            <xdr:cNvPr id="63" name="Rectangle 62">
              <a:extLst>
                <a:ext uri="{FF2B5EF4-FFF2-40B4-BE49-F238E27FC236}">
                  <a16:creationId xmlns:a16="http://schemas.microsoft.com/office/drawing/2014/main" id="{3A992FD8-D7BA-9778-6674-40F82937D2C1}"/>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0AFA82-B1F1-45F0-9D64-2B550F315D08}" type="TxLink">
                <a:rPr lang="en-US" sz="1100" b="0" i="0" u="none" strike="noStrike">
                  <a:solidFill>
                    <a:srgbClr val="000000"/>
                  </a:solidFill>
                  <a:latin typeface="Arial Unicode MS"/>
                </a:rPr>
                <a:pPr algn="ctr"/>
                <a:t>▲ 21.88%</a:t>
              </a:fld>
              <a:endParaRPr lang="en-GB" sz="1600" b="1">
                <a:solidFill>
                  <a:schemeClr val="tx2"/>
                </a:solidFill>
              </a:endParaRPr>
            </a:p>
          </xdr:txBody>
        </xdr:sp>
      </xdr:grpSp>
      <xdr:sp macro="" textlink="$BK$8">
        <xdr:nvSpPr>
          <xdr:cNvPr id="61" name="Rectangle 60">
            <a:extLst>
              <a:ext uri="{FF2B5EF4-FFF2-40B4-BE49-F238E27FC236}">
                <a16:creationId xmlns:a16="http://schemas.microsoft.com/office/drawing/2014/main" id="{1926CF86-3C85-658F-CA99-16CD9DF96259}"/>
              </a:ext>
            </a:extLst>
          </xdr:cNvPr>
          <xdr:cNvSpPr/>
        </xdr:nvSpPr>
        <xdr:spPr>
          <a:xfrm>
            <a:off x="3981348" y="1501827"/>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D4ED11-BD8C-4BE6-9E1B-EB7C3A64EF71}" type="TxLink">
              <a:rPr lang="en-US" sz="1100" b="1" i="0" u="none" strike="noStrike">
                <a:solidFill>
                  <a:schemeClr val="tx2"/>
                </a:solidFill>
                <a:latin typeface="Segoe UI"/>
                <a:cs typeface="Segoe UI"/>
              </a:rPr>
              <a:pPr algn="ctr"/>
              <a:t>Replies</a:t>
            </a:fld>
            <a:endParaRPr lang="en-GB" sz="1100" b="1">
              <a:solidFill>
                <a:schemeClr val="tx2"/>
              </a:solidFill>
            </a:endParaRPr>
          </a:p>
        </xdr:txBody>
      </xdr:sp>
    </xdr:grpSp>
    <xdr:clientData/>
  </xdr:twoCellAnchor>
  <xdr:twoCellAnchor>
    <xdr:from>
      <xdr:col>6</xdr:col>
      <xdr:colOff>451919</xdr:colOff>
      <xdr:row>12</xdr:row>
      <xdr:rowOff>160278</xdr:rowOff>
    </xdr:from>
    <xdr:to>
      <xdr:col>10</xdr:col>
      <xdr:colOff>10411</xdr:colOff>
      <xdr:row>19</xdr:row>
      <xdr:rowOff>135328</xdr:rowOff>
    </xdr:to>
    <xdr:grpSp>
      <xdr:nvGrpSpPr>
        <xdr:cNvPr id="64" name="Group 63">
          <a:extLst>
            <a:ext uri="{FF2B5EF4-FFF2-40B4-BE49-F238E27FC236}">
              <a16:creationId xmlns:a16="http://schemas.microsoft.com/office/drawing/2014/main" id="{CDCEBE76-72A1-4971-BF80-6D63DA045980}"/>
            </a:ext>
          </a:extLst>
        </xdr:cNvPr>
        <xdr:cNvGrpSpPr/>
      </xdr:nvGrpSpPr>
      <xdr:grpSpPr>
        <a:xfrm>
          <a:off x="4584943" y="2851330"/>
          <a:ext cx="1828834" cy="1433245"/>
          <a:chOff x="3719286" y="1354984"/>
          <a:chExt cx="1568958" cy="1242972"/>
        </a:xfrm>
      </xdr:grpSpPr>
      <xdr:grpSp>
        <xdr:nvGrpSpPr>
          <xdr:cNvPr id="65" name="Group 64">
            <a:extLst>
              <a:ext uri="{FF2B5EF4-FFF2-40B4-BE49-F238E27FC236}">
                <a16:creationId xmlns:a16="http://schemas.microsoft.com/office/drawing/2014/main" id="{9FC6C8B1-3A87-C3D2-8179-BAD8DA7D80A5}"/>
              </a:ext>
            </a:extLst>
          </xdr:cNvPr>
          <xdr:cNvGrpSpPr/>
        </xdr:nvGrpSpPr>
        <xdr:grpSpPr>
          <a:xfrm>
            <a:off x="3719286" y="1354984"/>
            <a:ext cx="1568958" cy="1242972"/>
            <a:chOff x="1829803" y="1372224"/>
            <a:chExt cx="1579302" cy="1226262"/>
          </a:xfrm>
        </xdr:grpSpPr>
        <xdr:sp macro="" textlink="Dashboard!BM9">
          <xdr:nvSpPr>
            <xdr:cNvPr id="67" name="Rectangle: Rounded Corners 66">
              <a:extLst>
                <a:ext uri="{FF2B5EF4-FFF2-40B4-BE49-F238E27FC236}">
                  <a16:creationId xmlns:a16="http://schemas.microsoft.com/office/drawing/2014/main" id="{1E625794-312F-0A87-804C-117EED0ABA42}"/>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2508F0-6F3C-427B-9EBB-6A96E7D6E51B}" type="TxLink">
                <a:rPr lang="en-US" sz="2400" b="1" i="0" u="none" strike="noStrike">
                  <a:solidFill>
                    <a:srgbClr val="002060"/>
                  </a:solidFill>
                  <a:latin typeface="Aptos Narrow"/>
                  <a:cs typeface="Segoe UI" panose="020B0502040204020203" pitchFamily="34" charset="0"/>
                </a:rPr>
                <a:pPr algn="ctr"/>
                <a:t>26,300</a:t>
              </a:fld>
              <a:endParaRPr lang="en-GB" sz="2400" b="1">
                <a:solidFill>
                  <a:srgbClr val="002060"/>
                </a:solidFill>
                <a:latin typeface="Segoe UI" panose="020B0502040204020203" pitchFamily="34" charset="0"/>
                <a:cs typeface="Segoe UI" panose="020B0502040204020203" pitchFamily="34" charset="0"/>
              </a:endParaRPr>
            </a:p>
          </xdr:txBody>
        </xdr:sp>
        <xdr:sp macro="" textlink="$BO$9">
          <xdr:nvSpPr>
            <xdr:cNvPr id="68" name="Rectangle 67">
              <a:extLst>
                <a:ext uri="{FF2B5EF4-FFF2-40B4-BE49-F238E27FC236}">
                  <a16:creationId xmlns:a16="http://schemas.microsoft.com/office/drawing/2014/main" id="{84FA2719-B98C-3605-996E-F344465BF091}"/>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269B44-DDA6-4274-B9A5-4F3734333F70}" type="TxLink">
                <a:rPr lang="en-US" sz="1100" b="0" i="0" u="none" strike="noStrike">
                  <a:solidFill>
                    <a:srgbClr val="000000"/>
                  </a:solidFill>
                  <a:latin typeface="Arial Unicode MS"/>
                </a:rPr>
                <a:pPr algn="ctr"/>
                <a:t>▲ 16.89%</a:t>
              </a:fld>
              <a:endParaRPr lang="en-GB" sz="1600" b="1">
                <a:solidFill>
                  <a:schemeClr val="tx2"/>
                </a:solidFill>
              </a:endParaRPr>
            </a:p>
          </xdr:txBody>
        </xdr:sp>
      </xdr:grpSp>
      <xdr:sp macro="" textlink="$BK$9">
        <xdr:nvSpPr>
          <xdr:cNvPr id="66" name="Rectangle 65">
            <a:extLst>
              <a:ext uri="{FF2B5EF4-FFF2-40B4-BE49-F238E27FC236}">
                <a16:creationId xmlns:a16="http://schemas.microsoft.com/office/drawing/2014/main" id="{871A90B7-AC6A-2E4B-4F9D-3A19D87D586B}"/>
              </a:ext>
            </a:extLst>
          </xdr:cNvPr>
          <xdr:cNvSpPr/>
        </xdr:nvSpPr>
        <xdr:spPr>
          <a:xfrm>
            <a:off x="3981348" y="1501827"/>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57A738-4BDB-40F8-A437-45FA0B44879C}" type="TxLink">
              <a:rPr lang="en-US" sz="1100" b="1" i="0" u="none" strike="noStrike">
                <a:solidFill>
                  <a:schemeClr val="tx2"/>
                </a:solidFill>
                <a:latin typeface="Segoe UI"/>
                <a:cs typeface="Segoe UI"/>
              </a:rPr>
              <a:pPr algn="ctr"/>
              <a:t>Likes</a:t>
            </a:fld>
            <a:endParaRPr lang="en-GB" sz="1100" b="1">
              <a:solidFill>
                <a:schemeClr val="tx2"/>
              </a:solidFill>
            </a:endParaRPr>
          </a:p>
        </xdr:txBody>
      </xdr:sp>
    </xdr:grpSp>
    <xdr:clientData/>
  </xdr:twoCellAnchor>
  <xdr:twoCellAnchor>
    <xdr:from>
      <xdr:col>10</xdr:col>
      <xdr:colOff>122415</xdr:colOff>
      <xdr:row>12</xdr:row>
      <xdr:rowOff>176966</xdr:rowOff>
    </xdr:from>
    <xdr:to>
      <xdr:col>12</xdr:col>
      <xdr:colOff>659926</xdr:colOff>
      <xdr:row>19</xdr:row>
      <xdr:rowOff>135328</xdr:rowOff>
    </xdr:to>
    <xdr:grpSp>
      <xdr:nvGrpSpPr>
        <xdr:cNvPr id="69" name="Group 68">
          <a:extLst>
            <a:ext uri="{FF2B5EF4-FFF2-40B4-BE49-F238E27FC236}">
              <a16:creationId xmlns:a16="http://schemas.microsoft.com/office/drawing/2014/main" id="{B6BA6868-F45D-4B59-B2DF-12B7EAA6F27C}"/>
            </a:ext>
          </a:extLst>
        </xdr:cNvPr>
        <xdr:cNvGrpSpPr/>
      </xdr:nvGrpSpPr>
      <xdr:grpSpPr>
        <a:xfrm>
          <a:off x="6532131" y="2868018"/>
          <a:ext cx="1888147" cy="1416557"/>
          <a:chOff x="3719286" y="1354984"/>
          <a:chExt cx="1568958" cy="1242972"/>
        </a:xfrm>
      </xdr:grpSpPr>
      <xdr:grpSp>
        <xdr:nvGrpSpPr>
          <xdr:cNvPr id="70" name="Group 69">
            <a:extLst>
              <a:ext uri="{FF2B5EF4-FFF2-40B4-BE49-F238E27FC236}">
                <a16:creationId xmlns:a16="http://schemas.microsoft.com/office/drawing/2014/main" id="{F1918846-C664-479D-3B46-B60161C9275D}"/>
              </a:ext>
            </a:extLst>
          </xdr:cNvPr>
          <xdr:cNvGrpSpPr/>
        </xdr:nvGrpSpPr>
        <xdr:grpSpPr>
          <a:xfrm>
            <a:off x="3719286" y="1354984"/>
            <a:ext cx="1568958" cy="1242972"/>
            <a:chOff x="1829803" y="1372224"/>
            <a:chExt cx="1579302" cy="1226262"/>
          </a:xfrm>
        </xdr:grpSpPr>
        <xdr:sp macro="" textlink="Dashboard!BM10">
          <xdr:nvSpPr>
            <xdr:cNvPr id="72" name="Rectangle: Rounded Corners 71">
              <a:extLst>
                <a:ext uri="{FF2B5EF4-FFF2-40B4-BE49-F238E27FC236}">
                  <a16:creationId xmlns:a16="http://schemas.microsoft.com/office/drawing/2014/main" id="{863CC638-66A5-369A-A49C-B0FF48A5C76D}"/>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DA87BD-2A2A-40A9-BA34-1C5829AADCDD}" type="TxLink">
                <a:rPr lang="en-US" sz="2400" b="1" i="0" u="none" strike="noStrike">
                  <a:solidFill>
                    <a:srgbClr val="002060"/>
                  </a:solidFill>
                  <a:latin typeface="Aptos Narrow"/>
                  <a:cs typeface="Segoe UI" panose="020B0502040204020203" pitchFamily="34" charset="0"/>
                </a:rPr>
                <a:pPr algn="ctr"/>
                <a:t>1,300</a:t>
              </a:fld>
              <a:endParaRPr lang="en-GB" sz="2400" b="1">
                <a:solidFill>
                  <a:srgbClr val="002060"/>
                </a:solidFill>
                <a:latin typeface="Segoe UI" panose="020B0502040204020203" pitchFamily="34" charset="0"/>
                <a:cs typeface="Segoe UI" panose="020B0502040204020203" pitchFamily="34" charset="0"/>
              </a:endParaRPr>
            </a:p>
          </xdr:txBody>
        </xdr:sp>
        <xdr:sp macro="" textlink="$BO$10">
          <xdr:nvSpPr>
            <xdr:cNvPr id="73" name="Rectangle 72">
              <a:extLst>
                <a:ext uri="{FF2B5EF4-FFF2-40B4-BE49-F238E27FC236}">
                  <a16:creationId xmlns:a16="http://schemas.microsoft.com/office/drawing/2014/main" id="{43A266FC-1931-7508-A818-2B32247E20FD}"/>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94CEEC-9E52-4E07-963B-0D8AA43B057F}" type="TxLink">
                <a:rPr lang="en-US" sz="1100" b="0" i="0" u="none" strike="noStrike">
                  <a:solidFill>
                    <a:srgbClr val="000000"/>
                  </a:solidFill>
                  <a:latin typeface="Arial Unicode MS"/>
                </a:rPr>
                <a:pPr algn="ctr"/>
                <a:t>▼ 7.14%</a:t>
              </a:fld>
              <a:endParaRPr lang="en-GB" sz="1600" b="1">
                <a:solidFill>
                  <a:schemeClr val="tx2"/>
                </a:solidFill>
              </a:endParaRPr>
            </a:p>
          </xdr:txBody>
        </xdr:sp>
      </xdr:grpSp>
      <xdr:sp macro="" textlink="$BK$10">
        <xdr:nvSpPr>
          <xdr:cNvPr id="71" name="Rectangle 70">
            <a:extLst>
              <a:ext uri="{FF2B5EF4-FFF2-40B4-BE49-F238E27FC236}">
                <a16:creationId xmlns:a16="http://schemas.microsoft.com/office/drawing/2014/main" id="{2E1AD259-B5DA-DDAD-9198-88DC8BD6516A}"/>
              </a:ext>
            </a:extLst>
          </xdr:cNvPr>
          <xdr:cNvSpPr/>
        </xdr:nvSpPr>
        <xdr:spPr>
          <a:xfrm>
            <a:off x="3981348" y="1501827"/>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F31E7C-2793-451F-B48E-6EB33E46C997}" type="TxLink">
              <a:rPr lang="en-US" sz="1100" b="1" i="0" u="none" strike="noStrike">
                <a:solidFill>
                  <a:schemeClr val="tx2"/>
                </a:solidFill>
                <a:latin typeface="Segoe UI"/>
                <a:cs typeface="Segoe UI"/>
              </a:rPr>
              <a:pPr algn="ctr"/>
              <a:t>Reposts</a:t>
            </a:fld>
            <a:endParaRPr lang="en-GB" sz="1100" b="1">
              <a:solidFill>
                <a:schemeClr val="tx2"/>
              </a:solidFill>
            </a:endParaRPr>
          </a:p>
        </xdr:txBody>
      </xdr:sp>
    </xdr:grpSp>
    <xdr:clientData/>
  </xdr:twoCellAnchor>
  <xdr:twoCellAnchor>
    <xdr:from>
      <xdr:col>12</xdr:col>
      <xdr:colOff>785111</xdr:colOff>
      <xdr:row>12</xdr:row>
      <xdr:rowOff>153874</xdr:rowOff>
    </xdr:from>
    <xdr:to>
      <xdr:col>15</xdr:col>
      <xdr:colOff>447184</xdr:colOff>
      <xdr:row>19</xdr:row>
      <xdr:rowOff>143099</xdr:rowOff>
    </xdr:to>
    <xdr:grpSp>
      <xdr:nvGrpSpPr>
        <xdr:cNvPr id="74" name="Group 73">
          <a:extLst>
            <a:ext uri="{FF2B5EF4-FFF2-40B4-BE49-F238E27FC236}">
              <a16:creationId xmlns:a16="http://schemas.microsoft.com/office/drawing/2014/main" id="{AE0A6F8B-3DD9-4B31-A24E-7008FD3A8089}"/>
            </a:ext>
          </a:extLst>
        </xdr:cNvPr>
        <xdr:cNvGrpSpPr/>
      </xdr:nvGrpSpPr>
      <xdr:grpSpPr>
        <a:xfrm>
          <a:off x="8551813" y="2841751"/>
          <a:ext cx="1893272" cy="1447420"/>
          <a:chOff x="3719286" y="1354984"/>
          <a:chExt cx="1568958" cy="1242972"/>
        </a:xfrm>
      </xdr:grpSpPr>
      <xdr:grpSp>
        <xdr:nvGrpSpPr>
          <xdr:cNvPr id="75" name="Group 74">
            <a:extLst>
              <a:ext uri="{FF2B5EF4-FFF2-40B4-BE49-F238E27FC236}">
                <a16:creationId xmlns:a16="http://schemas.microsoft.com/office/drawing/2014/main" id="{2F4FC78A-2507-9D97-1830-B8364D0AF884}"/>
              </a:ext>
            </a:extLst>
          </xdr:cNvPr>
          <xdr:cNvGrpSpPr/>
        </xdr:nvGrpSpPr>
        <xdr:grpSpPr>
          <a:xfrm>
            <a:off x="3719286" y="1354984"/>
            <a:ext cx="1568958" cy="1242972"/>
            <a:chOff x="1829803" y="1372224"/>
            <a:chExt cx="1579302" cy="1226262"/>
          </a:xfrm>
        </xdr:grpSpPr>
        <xdr:sp macro="" textlink="Dashboard!BM11">
          <xdr:nvSpPr>
            <xdr:cNvPr id="77" name="Rectangle: Rounded Corners 76">
              <a:extLst>
                <a:ext uri="{FF2B5EF4-FFF2-40B4-BE49-F238E27FC236}">
                  <a16:creationId xmlns:a16="http://schemas.microsoft.com/office/drawing/2014/main" id="{392F6819-3F4F-2C19-9C16-EA7744CB232B}"/>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537ED1-1D51-4DAB-A7D3-BDF44492A1E0}" type="TxLink">
                <a:rPr lang="en-US" sz="2400" b="1" i="0" u="none" strike="noStrike">
                  <a:solidFill>
                    <a:srgbClr val="002060"/>
                  </a:solidFill>
                  <a:latin typeface="Aptos Narrow"/>
                  <a:cs typeface="Segoe UI" panose="020B0502040204020203" pitchFamily="34" charset="0"/>
                </a:rPr>
                <a:pPr algn="ctr"/>
                <a:t>527</a:t>
              </a:fld>
              <a:endParaRPr lang="en-GB" sz="2400" b="1">
                <a:solidFill>
                  <a:srgbClr val="002060"/>
                </a:solidFill>
                <a:latin typeface="Segoe UI" panose="020B0502040204020203" pitchFamily="34" charset="0"/>
                <a:cs typeface="Segoe UI" panose="020B0502040204020203" pitchFamily="34" charset="0"/>
              </a:endParaRPr>
            </a:p>
          </xdr:txBody>
        </xdr:sp>
        <xdr:sp macro="" textlink="$BO$11">
          <xdr:nvSpPr>
            <xdr:cNvPr id="78" name="Rectangle 77">
              <a:extLst>
                <a:ext uri="{FF2B5EF4-FFF2-40B4-BE49-F238E27FC236}">
                  <a16:creationId xmlns:a16="http://schemas.microsoft.com/office/drawing/2014/main" id="{262E91EB-EE89-1375-AAE5-9AC35A897CAF}"/>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B3D9FB-4826-4055-A9CE-8031D69168BC}" type="TxLink">
                <a:rPr lang="en-US" sz="1100" b="0" i="0" u="none" strike="noStrike">
                  <a:solidFill>
                    <a:srgbClr val="000000"/>
                  </a:solidFill>
                  <a:latin typeface="Arial Unicode MS"/>
                </a:rPr>
                <a:pPr algn="ctr"/>
                <a:t>▲ 18.16%</a:t>
              </a:fld>
              <a:endParaRPr lang="en-GB" sz="1600" b="1">
                <a:solidFill>
                  <a:schemeClr val="tx2"/>
                </a:solidFill>
              </a:endParaRPr>
            </a:p>
          </xdr:txBody>
        </xdr:sp>
      </xdr:grpSp>
      <xdr:sp macro="" textlink="$BK$11">
        <xdr:nvSpPr>
          <xdr:cNvPr id="76" name="Rectangle 75">
            <a:extLst>
              <a:ext uri="{FF2B5EF4-FFF2-40B4-BE49-F238E27FC236}">
                <a16:creationId xmlns:a16="http://schemas.microsoft.com/office/drawing/2014/main" id="{3852CB48-41AD-DA68-3D30-D39F19B525B2}"/>
              </a:ext>
            </a:extLst>
          </xdr:cNvPr>
          <xdr:cNvSpPr/>
        </xdr:nvSpPr>
        <xdr:spPr>
          <a:xfrm>
            <a:off x="3981348" y="1501827"/>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22E76A-8D29-4A66-8B55-A1BFE0E7C2F9}" type="TxLink">
              <a:rPr lang="en-US" sz="1100" b="1" i="0" u="none" strike="noStrike">
                <a:solidFill>
                  <a:srgbClr val="000000"/>
                </a:solidFill>
                <a:latin typeface="Segoe UI"/>
                <a:cs typeface="Segoe UI"/>
              </a:rPr>
              <a:pPr algn="ctr"/>
              <a:t>Bookmarks</a:t>
            </a:fld>
            <a:endParaRPr lang="en-GB" sz="1100" b="1"/>
          </a:p>
        </xdr:txBody>
      </xdr:sp>
    </xdr:grpSp>
    <xdr:clientData/>
  </xdr:twoCellAnchor>
  <xdr:twoCellAnchor>
    <xdr:from>
      <xdr:col>15</xdr:col>
      <xdr:colOff>600550</xdr:colOff>
      <xdr:row>12</xdr:row>
      <xdr:rowOff>187046</xdr:rowOff>
    </xdr:from>
    <xdr:to>
      <xdr:col>18</xdr:col>
      <xdr:colOff>625179</xdr:colOff>
      <xdr:row>19</xdr:row>
      <xdr:rowOff>135329</xdr:rowOff>
    </xdr:to>
    <xdr:grpSp>
      <xdr:nvGrpSpPr>
        <xdr:cNvPr id="79" name="Group 78">
          <a:extLst>
            <a:ext uri="{FF2B5EF4-FFF2-40B4-BE49-F238E27FC236}">
              <a16:creationId xmlns:a16="http://schemas.microsoft.com/office/drawing/2014/main" id="{CC7E9A22-49A4-4673-822A-939BF190E3A0}"/>
            </a:ext>
          </a:extLst>
        </xdr:cNvPr>
        <xdr:cNvGrpSpPr/>
      </xdr:nvGrpSpPr>
      <xdr:grpSpPr>
        <a:xfrm>
          <a:off x="10592101" y="2871748"/>
          <a:ext cx="1864389" cy="1412828"/>
          <a:chOff x="3719286" y="1354984"/>
          <a:chExt cx="1568958" cy="1242972"/>
        </a:xfrm>
      </xdr:grpSpPr>
      <xdr:grpSp>
        <xdr:nvGrpSpPr>
          <xdr:cNvPr id="80" name="Group 79">
            <a:extLst>
              <a:ext uri="{FF2B5EF4-FFF2-40B4-BE49-F238E27FC236}">
                <a16:creationId xmlns:a16="http://schemas.microsoft.com/office/drawing/2014/main" id="{6F37C705-8020-09B2-ACD5-036280EB5D2B}"/>
              </a:ext>
            </a:extLst>
          </xdr:cNvPr>
          <xdr:cNvGrpSpPr/>
        </xdr:nvGrpSpPr>
        <xdr:grpSpPr>
          <a:xfrm>
            <a:off x="3719286" y="1354984"/>
            <a:ext cx="1568958" cy="1242972"/>
            <a:chOff x="1829803" y="1372224"/>
            <a:chExt cx="1579302" cy="1226262"/>
          </a:xfrm>
        </xdr:grpSpPr>
        <xdr:sp macro="" textlink="Dashboard!BM12">
          <xdr:nvSpPr>
            <xdr:cNvPr id="82" name="Rectangle: Rounded Corners 81">
              <a:extLst>
                <a:ext uri="{FF2B5EF4-FFF2-40B4-BE49-F238E27FC236}">
                  <a16:creationId xmlns:a16="http://schemas.microsoft.com/office/drawing/2014/main" id="{0EC34DB6-A1BF-619D-19C7-4519586177A2}"/>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FFDC50-AEE7-4035-8301-F0AF35BDD920}" type="TxLink">
                <a:rPr lang="en-US" sz="2400" b="1" i="0" u="none" strike="noStrike">
                  <a:solidFill>
                    <a:srgbClr val="002060"/>
                  </a:solidFill>
                  <a:latin typeface="Aptos Narrow"/>
                  <a:cs typeface="Segoe UI" panose="020B0502040204020203" pitchFamily="34" charset="0"/>
                </a:rPr>
                <a:pPr algn="ctr"/>
                <a:t>576</a:t>
              </a:fld>
              <a:endParaRPr lang="en-GB" sz="2400" b="1">
                <a:solidFill>
                  <a:srgbClr val="002060"/>
                </a:solidFill>
                <a:latin typeface="Segoe UI" panose="020B0502040204020203" pitchFamily="34" charset="0"/>
                <a:cs typeface="Segoe UI" panose="020B0502040204020203" pitchFamily="34" charset="0"/>
              </a:endParaRPr>
            </a:p>
          </xdr:txBody>
        </xdr:sp>
        <xdr:sp macro="" textlink="$BO$12">
          <xdr:nvSpPr>
            <xdr:cNvPr id="83" name="Rectangle 82">
              <a:extLst>
                <a:ext uri="{FF2B5EF4-FFF2-40B4-BE49-F238E27FC236}">
                  <a16:creationId xmlns:a16="http://schemas.microsoft.com/office/drawing/2014/main" id="{77F7BD1F-8F74-128B-61F0-4847EDBE693E}"/>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31AB15-5D90-4FB3-B4F0-31A7A0624073}" type="TxLink">
                <a:rPr lang="en-US" sz="1100" b="0" i="0" u="none" strike="noStrike">
                  <a:solidFill>
                    <a:srgbClr val="000000"/>
                  </a:solidFill>
                  <a:latin typeface="Arial Unicode MS"/>
                </a:rPr>
                <a:pPr algn="ctr"/>
                <a:t>▲ 0.35%</a:t>
              </a:fld>
              <a:endParaRPr lang="en-GB" sz="1600" b="1">
                <a:solidFill>
                  <a:schemeClr val="tx2"/>
                </a:solidFill>
              </a:endParaRPr>
            </a:p>
          </xdr:txBody>
        </xdr:sp>
      </xdr:grpSp>
      <xdr:sp macro="" textlink="$BK$12">
        <xdr:nvSpPr>
          <xdr:cNvPr id="81" name="Rectangle 80">
            <a:extLst>
              <a:ext uri="{FF2B5EF4-FFF2-40B4-BE49-F238E27FC236}">
                <a16:creationId xmlns:a16="http://schemas.microsoft.com/office/drawing/2014/main" id="{081D7370-70DD-9453-20FB-415E406F59F1}"/>
              </a:ext>
            </a:extLst>
          </xdr:cNvPr>
          <xdr:cNvSpPr/>
        </xdr:nvSpPr>
        <xdr:spPr>
          <a:xfrm>
            <a:off x="3981348" y="1501827"/>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FB888-3C58-4549-A7CA-5C966531DA19}" type="TxLink">
              <a:rPr lang="en-US" sz="1100" b="1" i="0" u="none" strike="noStrike">
                <a:solidFill>
                  <a:schemeClr val="tx2"/>
                </a:solidFill>
                <a:latin typeface="Segoe UI"/>
                <a:cs typeface="Segoe UI"/>
              </a:rPr>
              <a:pPr algn="ctr"/>
              <a:t>Shares</a:t>
            </a:fld>
            <a:endParaRPr lang="en-GB" sz="1100" b="1">
              <a:solidFill>
                <a:schemeClr val="tx2"/>
              </a:solidFill>
            </a:endParaRPr>
          </a:p>
        </xdr:txBody>
      </xdr:sp>
    </xdr:grpSp>
    <xdr:clientData/>
  </xdr:twoCellAnchor>
  <xdr:twoCellAnchor>
    <xdr:from>
      <xdr:col>18</xdr:col>
      <xdr:colOff>753666</xdr:colOff>
      <xdr:row>12</xdr:row>
      <xdr:rowOff>155322</xdr:rowOff>
    </xdr:from>
    <xdr:to>
      <xdr:col>20</xdr:col>
      <xdr:colOff>946020</xdr:colOff>
      <xdr:row>19</xdr:row>
      <xdr:rowOff>129592</xdr:rowOff>
    </xdr:to>
    <xdr:grpSp>
      <xdr:nvGrpSpPr>
        <xdr:cNvPr id="92" name="Group 91">
          <a:extLst>
            <a:ext uri="{FF2B5EF4-FFF2-40B4-BE49-F238E27FC236}">
              <a16:creationId xmlns:a16="http://schemas.microsoft.com/office/drawing/2014/main" id="{57E4469C-FD58-BACC-8A99-34A79C515E33}"/>
            </a:ext>
          </a:extLst>
        </xdr:cNvPr>
        <xdr:cNvGrpSpPr/>
      </xdr:nvGrpSpPr>
      <xdr:grpSpPr>
        <a:xfrm>
          <a:off x="12584977" y="2843199"/>
          <a:ext cx="1823347" cy="1432465"/>
          <a:chOff x="11349365" y="2862539"/>
          <a:chExt cx="1568958" cy="1242972"/>
        </a:xfrm>
      </xdr:grpSpPr>
      <xdr:grpSp>
        <xdr:nvGrpSpPr>
          <xdr:cNvPr id="88" name="Group 87">
            <a:extLst>
              <a:ext uri="{FF2B5EF4-FFF2-40B4-BE49-F238E27FC236}">
                <a16:creationId xmlns:a16="http://schemas.microsoft.com/office/drawing/2014/main" id="{155EB879-CFE3-309E-2389-D31D8AF0DB49}"/>
              </a:ext>
            </a:extLst>
          </xdr:cNvPr>
          <xdr:cNvGrpSpPr/>
        </xdr:nvGrpSpPr>
        <xdr:grpSpPr>
          <a:xfrm>
            <a:off x="11349365" y="2862539"/>
            <a:ext cx="1568958" cy="1242972"/>
            <a:chOff x="1829803" y="1372224"/>
            <a:chExt cx="1579302" cy="1226262"/>
          </a:xfrm>
        </xdr:grpSpPr>
        <xdr:sp macro="" textlink="Dashboard!BM13">
          <xdr:nvSpPr>
            <xdr:cNvPr id="90" name="Rectangle: Rounded Corners 89">
              <a:extLst>
                <a:ext uri="{FF2B5EF4-FFF2-40B4-BE49-F238E27FC236}">
                  <a16:creationId xmlns:a16="http://schemas.microsoft.com/office/drawing/2014/main" id="{CF712688-819F-C7AC-B1C6-BE9E2F626891}"/>
                </a:ext>
              </a:extLst>
            </xdr:cNvPr>
            <xdr:cNvSpPr/>
          </xdr:nvSpPr>
          <xdr:spPr>
            <a:xfrm>
              <a:off x="1829803" y="1372224"/>
              <a:ext cx="1579302" cy="1226262"/>
            </a:xfrm>
            <a:prstGeom prst="roundRect">
              <a:avLst/>
            </a:prstGeom>
            <a:solidFill>
              <a:schemeClr val="bg1"/>
            </a:solidFill>
            <a:ln>
              <a:noFill/>
            </a:ln>
            <a:effectLst>
              <a:outerShdw blurRad="381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C9C7CC-4F6F-4932-B948-09DC14891245}" type="TxLink">
                <a:rPr lang="en-US" sz="2400" b="1" i="0" u="none" strike="noStrike">
                  <a:solidFill>
                    <a:srgbClr val="002060"/>
                  </a:solidFill>
                  <a:latin typeface="Aptos Narrow"/>
                  <a:cs typeface="Segoe UI" panose="020B0502040204020203" pitchFamily="34" charset="0"/>
                </a:rPr>
                <a:pPr algn="ctr"/>
                <a:t>255,432</a:t>
              </a:fld>
              <a:endParaRPr lang="en-GB" sz="2400" b="1">
                <a:solidFill>
                  <a:srgbClr val="002060"/>
                </a:solidFill>
                <a:latin typeface="Segoe UI" panose="020B0502040204020203" pitchFamily="34" charset="0"/>
                <a:cs typeface="Segoe UI" panose="020B0502040204020203" pitchFamily="34" charset="0"/>
              </a:endParaRPr>
            </a:p>
          </xdr:txBody>
        </xdr:sp>
        <xdr:sp macro="" textlink="$BO$13">
          <xdr:nvSpPr>
            <xdr:cNvPr id="91" name="Rectangle 90">
              <a:extLst>
                <a:ext uri="{FF2B5EF4-FFF2-40B4-BE49-F238E27FC236}">
                  <a16:creationId xmlns:a16="http://schemas.microsoft.com/office/drawing/2014/main" id="{68671FCC-3DF4-99AC-8F12-AD00A9B21E45}"/>
                </a:ext>
              </a:extLst>
            </xdr:cNvPr>
            <xdr:cNvSpPr/>
          </xdr:nvSpPr>
          <xdr:spPr>
            <a:xfrm>
              <a:off x="2146129" y="2177144"/>
              <a:ext cx="851484" cy="33181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1652CD-DD7B-43AE-9245-B6E3F1C38F00}" type="TxLink">
                <a:rPr lang="en-US" sz="1100" b="0" i="0" u="none" strike="noStrike">
                  <a:solidFill>
                    <a:srgbClr val="000000"/>
                  </a:solidFill>
                  <a:latin typeface="Arial Unicode MS"/>
                </a:rPr>
                <a:pPr algn="ctr"/>
                <a:t>▲ 22.98%</a:t>
              </a:fld>
              <a:endParaRPr lang="en-GB" sz="2000" b="1">
                <a:solidFill>
                  <a:schemeClr val="tx2"/>
                </a:solidFill>
              </a:endParaRPr>
            </a:p>
          </xdr:txBody>
        </xdr:sp>
      </xdr:grpSp>
      <xdr:sp macro="" textlink="$BK$13">
        <xdr:nvSpPr>
          <xdr:cNvPr id="89" name="Rectangle 88">
            <a:extLst>
              <a:ext uri="{FF2B5EF4-FFF2-40B4-BE49-F238E27FC236}">
                <a16:creationId xmlns:a16="http://schemas.microsoft.com/office/drawing/2014/main" id="{A5F888B0-E716-703B-EE38-51EFA3CDFA06}"/>
              </a:ext>
            </a:extLst>
          </xdr:cNvPr>
          <xdr:cNvSpPr/>
        </xdr:nvSpPr>
        <xdr:spPr>
          <a:xfrm>
            <a:off x="11611427" y="3009382"/>
            <a:ext cx="1098651" cy="32253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27D192-D503-4560-A8A6-4DE0596745D8}" type="TxLink">
              <a:rPr lang="en-US" sz="1100" b="1" i="0" u="none" strike="noStrike">
                <a:solidFill>
                  <a:srgbClr val="000000"/>
                </a:solidFill>
                <a:latin typeface="Segoe UI"/>
                <a:cs typeface="Segoe UI"/>
              </a:rPr>
              <a:pPr algn="ctr"/>
              <a:t>Video Views</a:t>
            </a:fld>
            <a:endParaRPr lang="en-GB" sz="1100" b="1">
              <a:solidFill>
                <a:schemeClr val="tx2"/>
              </a:solidFill>
            </a:endParaRPr>
          </a:p>
        </xdr:txBody>
      </xdr:sp>
    </xdr:grpSp>
    <xdr:clientData/>
  </xdr:twoCellAnchor>
  <xdr:twoCellAnchor>
    <xdr:from>
      <xdr:col>4</xdr:col>
      <xdr:colOff>64992</xdr:colOff>
      <xdr:row>21</xdr:row>
      <xdr:rowOff>10773</xdr:rowOff>
    </xdr:from>
    <xdr:to>
      <xdr:col>12</xdr:col>
      <xdr:colOff>495085</xdr:colOff>
      <xdr:row>28</xdr:row>
      <xdr:rowOff>118389</xdr:rowOff>
    </xdr:to>
    <xdr:graphicFrame macro="">
      <xdr:nvGraphicFramePr>
        <xdr:cNvPr id="94" name="Chart 93">
          <a:extLst>
            <a:ext uri="{FF2B5EF4-FFF2-40B4-BE49-F238E27FC236}">
              <a16:creationId xmlns:a16="http://schemas.microsoft.com/office/drawing/2014/main" id="{E50B5737-5CBD-4D20-B5B2-F4F662DAE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258226</xdr:colOff>
      <xdr:row>20</xdr:row>
      <xdr:rowOff>110203</xdr:rowOff>
    </xdr:from>
    <xdr:to>
      <xdr:col>19</xdr:col>
      <xdr:colOff>593361</xdr:colOff>
      <xdr:row>28</xdr:row>
      <xdr:rowOff>197787</xdr:rowOff>
    </xdr:to>
    <xdr:graphicFrame macro="">
      <xdr:nvGraphicFramePr>
        <xdr:cNvPr id="98" name="Chart 97">
          <a:extLst>
            <a:ext uri="{FF2B5EF4-FFF2-40B4-BE49-F238E27FC236}">
              <a16:creationId xmlns:a16="http://schemas.microsoft.com/office/drawing/2014/main" id="{67C9309D-5775-4509-BBD3-8F07DBF8E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383776</xdr:colOff>
      <xdr:row>30</xdr:row>
      <xdr:rowOff>28295</xdr:rowOff>
    </xdr:from>
    <xdr:to>
      <xdr:col>12</xdr:col>
      <xdr:colOff>719666</xdr:colOff>
      <xdr:row>38</xdr:row>
      <xdr:rowOff>74084</xdr:rowOff>
    </xdr:to>
    <xdr:grpSp>
      <xdr:nvGrpSpPr>
        <xdr:cNvPr id="120" name="Group 119">
          <a:extLst>
            <a:ext uri="{FF2B5EF4-FFF2-40B4-BE49-F238E27FC236}">
              <a16:creationId xmlns:a16="http://schemas.microsoft.com/office/drawing/2014/main" id="{701CBDDE-D021-422E-9056-55AC73175A53}"/>
            </a:ext>
          </a:extLst>
        </xdr:cNvPr>
        <xdr:cNvGrpSpPr/>
      </xdr:nvGrpSpPr>
      <xdr:grpSpPr>
        <a:xfrm>
          <a:off x="2680214" y="6620682"/>
          <a:ext cx="5799804" cy="1856279"/>
          <a:chOff x="7341930" y="6047413"/>
          <a:chExt cx="4514492" cy="1357492"/>
        </a:xfrm>
      </xdr:grpSpPr>
      <xdr:sp macro="" textlink="">
        <xdr:nvSpPr>
          <xdr:cNvPr id="121" name="Rectangle: Rounded Corners 120">
            <a:extLst>
              <a:ext uri="{FF2B5EF4-FFF2-40B4-BE49-F238E27FC236}">
                <a16:creationId xmlns:a16="http://schemas.microsoft.com/office/drawing/2014/main" id="{355FD6E2-0B9C-3ABF-B96D-1125EE4A6CBE}"/>
              </a:ext>
            </a:extLst>
          </xdr:cNvPr>
          <xdr:cNvSpPr/>
        </xdr:nvSpPr>
        <xdr:spPr>
          <a:xfrm>
            <a:off x="7341930" y="6047413"/>
            <a:ext cx="4514492" cy="1357492"/>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200" b="1" u="sng">
              <a:solidFill>
                <a:schemeClr val="tx1"/>
              </a:solidFill>
            </a:endParaRPr>
          </a:p>
        </xdr:txBody>
      </xdr:sp>
      <xdr:sp macro="" textlink="$CJ$3">
        <xdr:nvSpPr>
          <xdr:cNvPr id="122" name="TextBox 121">
            <a:extLst>
              <a:ext uri="{FF2B5EF4-FFF2-40B4-BE49-F238E27FC236}">
                <a16:creationId xmlns:a16="http://schemas.microsoft.com/office/drawing/2014/main" id="{BB982CB6-056E-2742-13FA-942D228670A1}"/>
              </a:ext>
            </a:extLst>
          </xdr:cNvPr>
          <xdr:cNvSpPr txBox="1"/>
        </xdr:nvSpPr>
        <xdr:spPr>
          <a:xfrm>
            <a:off x="7566919" y="6379649"/>
            <a:ext cx="1323676" cy="17827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9104E6-97FA-4EBA-9D78-A48A2CAC87AD}" type="TxLink">
              <a:rPr lang="en-US" sz="1100" b="0" i="0" u="none" strike="noStrike">
                <a:solidFill>
                  <a:schemeClr val="bg2">
                    <a:lumMod val="50000"/>
                  </a:schemeClr>
                </a:solidFill>
                <a:latin typeface="Segoe UI"/>
                <a:cs typeface="Segoe UI"/>
              </a:rPr>
              <a:pPr algn="ctr"/>
              <a:t>Highest KPI:</a:t>
            </a:fld>
            <a:endParaRPr lang="en-US" sz="1100" b="0" i="0" u="none" strike="noStrike">
              <a:solidFill>
                <a:schemeClr val="bg2">
                  <a:lumMod val="50000"/>
                </a:schemeClr>
              </a:solidFill>
              <a:latin typeface="Aptos Narrow"/>
            </a:endParaRPr>
          </a:p>
        </xdr:txBody>
      </xdr:sp>
      <xdr:sp macro="" textlink="$CJ$4">
        <xdr:nvSpPr>
          <xdr:cNvPr id="123" name="TextBox 122">
            <a:extLst>
              <a:ext uri="{FF2B5EF4-FFF2-40B4-BE49-F238E27FC236}">
                <a16:creationId xmlns:a16="http://schemas.microsoft.com/office/drawing/2014/main" id="{1C2B40ED-5015-E660-F81D-01FA24E2C4BB}"/>
              </a:ext>
            </a:extLst>
          </xdr:cNvPr>
          <xdr:cNvSpPr txBox="1"/>
        </xdr:nvSpPr>
        <xdr:spPr>
          <a:xfrm>
            <a:off x="7566099" y="6575489"/>
            <a:ext cx="1296806" cy="187501"/>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D922E6-7411-45FB-9C55-1FA20818824E}" type="TxLink">
              <a:rPr lang="en-US" sz="1100" b="0" i="0" u="none" strike="noStrike">
                <a:solidFill>
                  <a:schemeClr val="bg2">
                    <a:lumMod val="50000"/>
                  </a:schemeClr>
                </a:solidFill>
                <a:latin typeface="Segoe UI"/>
                <a:cs typeface="Segoe UI"/>
              </a:rPr>
              <a:pPr algn="ctr"/>
              <a:t>Largest Increase:</a:t>
            </a:fld>
            <a:endParaRPr lang="en-US" sz="1100" b="0" i="0" u="none" strike="noStrike">
              <a:solidFill>
                <a:schemeClr val="bg2">
                  <a:lumMod val="50000"/>
                </a:schemeClr>
              </a:solidFill>
              <a:latin typeface="Aptos Narrow"/>
            </a:endParaRPr>
          </a:p>
        </xdr:txBody>
      </xdr:sp>
      <xdr:sp macro="" textlink="$CJ$5">
        <xdr:nvSpPr>
          <xdr:cNvPr id="124" name="TextBox 123">
            <a:extLst>
              <a:ext uri="{FF2B5EF4-FFF2-40B4-BE49-F238E27FC236}">
                <a16:creationId xmlns:a16="http://schemas.microsoft.com/office/drawing/2014/main" id="{80174618-0C2F-CBBF-47EC-E596DD4B1822}"/>
              </a:ext>
            </a:extLst>
          </xdr:cNvPr>
          <xdr:cNvSpPr txBox="1"/>
        </xdr:nvSpPr>
        <xdr:spPr>
          <a:xfrm>
            <a:off x="7544276" y="6787432"/>
            <a:ext cx="1324175" cy="178280"/>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9F064-DD10-4B88-A3ED-83DFFCB6B54A}" type="TxLink">
              <a:rPr lang="en-US" sz="1100" b="0" i="0" u="none" strike="noStrike">
                <a:solidFill>
                  <a:schemeClr val="bg2">
                    <a:lumMod val="50000"/>
                  </a:schemeClr>
                </a:solidFill>
                <a:latin typeface="Segoe UI"/>
                <a:cs typeface="Segoe UI"/>
              </a:rPr>
              <a:pPr algn="ctr"/>
              <a:t>Largest Decrease:</a:t>
            </a:fld>
            <a:endParaRPr lang="en-US" sz="1100" b="0" i="0" u="none" strike="noStrike">
              <a:solidFill>
                <a:schemeClr val="bg2">
                  <a:lumMod val="50000"/>
                </a:schemeClr>
              </a:solidFill>
              <a:latin typeface="Aptos Narrow"/>
            </a:endParaRPr>
          </a:p>
        </xdr:txBody>
      </xdr:sp>
      <xdr:sp macro="" textlink="$CJ$6">
        <xdr:nvSpPr>
          <xdr:cNvPr id="125" name="TextBox 124">
            <a:extLst>
              <a:ext uri="{FF2B5EF4-FFF2-40B4-BE49-F238E27FC236}">
                <a16:creationId xmlns:a16="http://schemas.microsoft.com/office/drawing/2014/main" id="{94EFA660-49C0-CC45-CD18-20D3DB273573}"/>
              </a:ext>
            </a:extLst>
          </xdr:cNvPr>
          <xdr:cNvSpPr txBox="1"/>
        </xdr:nvSpPr>
        <xdr:spPr>
          <a:xfrm>
            <a:off x="7539677" y="7009398"/>
            <a:ext cx="1324175" cy="178279"/>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74B50E-871A-4864-9146-D091725FA86B}" type="TxLink">
              <a:rPr lang="en-US" sz="1100" b="0" i="0" u="none" strike="noStrike">
                <a:solidFill>
                  <a:schemeClr val="bg2">
                    <a:lumMod val="50000"/>
                  </a:schemeClr>
                </a:solidFill>
                <a:latin typeface="Segoe UI"/>
                <a:cs typeface="Segoe UI"/>
              </a:rPr>
              <a:pPr algn="ctr"/>
              <a:t>KPIs Improving:</a:t>
            </a:fld>
            <a:endParaRPr lang="en-US" sz="1100" b="0" i="0" u="none" strike="noStrike">
              <a:solidFill>
                <a:schemeClr val="bg2">
                  <a:lumMod val="50000"/>
                </a:schemeClr>
              </a:solidFill>
              <a:latin typeface="Aptos Narrow"/>
            </a:endParaRPr>
          </a:p>
        </xdr:txBody>
      </xdr:sp>
      <xdr:sp macro="" textlink="$CN$3">
        <xdr:nvSpPr>
          <xdr:cNvPr id="127" name="TextBox 126">
            <a:extLst>
              <a:ext uri="{FF2B5EF4-FFF2-40B4-BE49-F238E27FC236}">
                <a16:creationId xmlns:a16="http://schemas.microsoft.com/office/drawing/2014/main" id="{3E84D91F-3C60-943D-C4D2-66258862D4E0}"/>
              </a:ext>
            </a:extLst>
          </xdr:cNvPr>
          <xdr:cNvSpPr txBox="1"/>
        </xdr:nvSpPr>
        <xdr:spPr>
          <a:xfrm>
            <a:off x="8920093" y="6374739"/>
            <a:ext cx="2170019" cy="16964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13B58-59A0-4838-8DDC-AB13EBF64C8B}" type="TxLink">
              <a:rPr lang="en-US" sz="1100" b="1" i="0" u="none" strike="noStrike">
                <a:solidFill>
                  <a:srgbClr val="000000"/>
                </a:solidFill>
                <a:latin typeface="Aptos Narrow"/>
                <a:cs typeface="Segoe UI"/>
              </a:rPr>
              <a:pPr algn="ctr"/>
              <a:t>Views (486,000)</a:t>
            </a:fld>
            <a:endParaRPr lang="en-US" sz="1000" b="1" i="0" u="none" strike="noStrike">
              <a:solidFill>
                <a:srgbClr val="000000"/>
              </a:solidFill>
              <a:latin typeface="Segoe UI"/>
              <a:cs typeface="Segoe UI"/>
            </a:endParaRPr>
          </a:p>
        </xdr:txBody>
      </xdr:sp>
      <xdr:sp macro="" textlink="$CN$4">
        <xdr:nvSpPr>
          <xdr:cNvPr id="1024" name="TextBox 1023">
            <a:extLst>
              <a:ext uri="{FF2B5EF4-FFF2-40B4-BE49-F238E27FC236}">
                <a16:creationId xmlns:a16="http://schemas.microsoft.com/office/drawing/2014/main" id="{5A649CDC-0775-CA67-6B38-C9697789F5DA}"/>
              </a:ext>
            </a:extLst>
          </xdr:cNvPr>
          <xdr:cNvSpPr txBox="1"/>
        </xdr:nvSpPr>
        <xdr:spPr>
          <a:xfrm>
            <a:off x="8902950" y="6580450"/>
            <a:ext cx="2195477" cy="183721"/>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FA5AF5-0D91-467A-A79D-8EB166D35A7F}" type="TxLink">
              <a:rPr lang="en-US" sz="1100" b="1" i="0" u="none" strike="noStrike">
                <a:solidFill>
                  <a:srgbClr val="000000"/>
                </a:solidFill>
                <a:latin typeface="Aptos Narrow"/>
              </a:rPr>
              <a:pPr algn="ctr"/>
              <a:t>New Viewers (+338.1%)</a:t>
            </a:fld>
            <a:endParaRPr lang="en-US" sz="1000" b="1" i="0" u="none" strike="noStrike">
              <a:solidFill>
                <a:srgbClr val="000000"/>
              </a:solidFill>
              <a:latin typeface="Aptos Narrow"/>
            </a:endParaRPr>
          </a:p>
        </xdr:txBody>
      </xdr:sp>
      <xdr:sp macro="" textlink="$CN$5">
        <xdr:nvSpPr>
          <xdr:cNvPr id="1025" name="TextBox 1024">
            <a:extLst>
              <a:ext uri="{FF2B5EF4-FFF2-40B4-BE49-F238E27FC236}">
                <a16:creationId xmlns:a16="http://schemas.microsoft.com/office/drawing/2014/main" id="{20E60C69-CB91-1C24-0097-CE51005931BC}"/>
              </a:ext>
            </a:extLst>
          </xdr:cNvPr>
          <xdr:cNvSpPr txBox="1"/>
        </xdr:nvSpPr>
        <xdr:spPr>
          <a:xfrm>
            <a:off x="8897059" y="6791270"/>
            <a:ext cx="2201368" cy="19160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B87DDD-4751-4A4F-B510-12AF79BA9996}" type="TxLink">
              <a:rPr lang="en-US" sz="1100" b="1" i="0" u="none" strike="noStrike">
                <a:solidFill>
                  <a:srgbClr val="000000"/>
                </a:solidFill>
                <a:latin typeface="Aptos Narrow"/>
                <a:cs typeface="Segoe UI"/>
              </a:rPr>
              <a:pPr algn="ctr"/>
              <a:t>Comments (13.5%)</a:t>
            </a:fld>
            <a:endParaRPr lang="en-US" sz="1000" b="1" i="0" u="none" strike="noStrike">
              <a:solidFill>
                <a:srgbClr val="000000"/>
              </a:solidFill>
              <a:latin typeface="Segoe UI"/>
              <a:cs typeface="Segoe UI"/>
            </a:endParaRPr>
          </a:p>
        </xdr:txBody>
      </xdr:sp>
      <xdr:sp macro="" textlink="$CK$6">
        <xdr:nvSpPr>
          <xdr:cNvPr id="1026" name="TextBox 1025">
            <a:extLst>
              <a:ext uri="{FF2B5EF4-FFF2-40B4-BE49-F238E27FC236}">
                <a16:creationId xmlns:a16="http://schemas.microsoft.com/office/drawing/2014/main" id="{58691A45-9F6C-9393-74CB-F5D92D757801}"/>
              </a:ext>
            </a:extLst>
          </xdr:cNvPr>
          <xdr:cNvSpPr txBox="1"/>
        </xdr:nvSpPr>
        <xdr:spPr>
          <a:xfrm>
            <a:off x="8897445" y="7009729"/>
            <a:ext cx="2210655" cy="16540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13CE2A-3D53-42E6-B12A-A3A070964B2F}" type="TxLink">
              <a:rPr lang="en-US" sz="1000" b="1" i="0" u="none" strike="noStrike">
                <a:solidFill>
                  <a:srgbClr val="000000"/>
                </a:solidFill>
                <a:latin typeface="Arial Unicode MS"/>
              </a:rPr>
              <a:pPr algn="ctr"/>
              <a:t>6 / 6</a:t>
            </a:fld>
            <a:endParaRPr lang="en-US" sz="1000" b="1" i="0" u="none" strike="noStrike">
              <a:solidFill>
                <a:srgbClr val="000000"/>
              </a:solidFill>
              <a:latin typeface="Aptos Narrow"/>
            </a:endParaRPr>
          </a:p>
        </xdr:txBody>
      </xdr:sp>
      <xdr:sp macro="" textlink="$CQ$3">
        <xdr:nvSpPr>
          <xdr:cNvPr id="1028" name="TextBox 1027">
            <a:extLst>
              <a:ext uri="{FF2B5EF4-FFF2-40B4-BE49-F238E27FC236}">
                <a16:creationId xmlns:a16="http://schemas.microsoft.com/office/drawing/2014/main" id="{7E9C6A8C-3DA9-DD91-159D-B219A196DD45}"/>
              </a:ext>
            </a:extLst>
          </xdr:cNvPr>
          <xdr:cNvSpPr txBox="1"/>
        </xdr:nvSpPr>
        <xdr:spPr>
          <a:xfrm>
            <a:off x="8452599" y="6108649"/>
            <a:ext cx="2373411" cy="21769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2C11BB-BB9D-4B30-8DE6-D88FFBF0D42A}" type="TxLink">
              <a:rPr lang="en-US" sz="1100" b="1" i="0" u="sng" strike="noStrike">
                <a:solidFill>
                  <a:srgbClr val="000000"/>
                </a:solidFill>
                <a:latin typeface="Segoe UI"/>
                <a:cs typeface="Segoe UI"/>
              </a:rPr>
              <a:pPr algn="ctr"/>
              <a:t>TikTok- Executive Summary (Dec-26)</a:t>
            </a:fld>
            <a:endParaRPr lang="en-US" sz="1000" b="1" i="0" u="sng" strike="noStrike">
              <a:solidFill>
                <a:srgbClr val="000000"/>
              </a:solidFill>
              <a:latin typeface="Arial Unicode MS"/>
            </a:endParaRPr>
          </a:p>
        </xdr:txBody>
      </xdr:sp>
    </xdr:grpSp>
    <xdr:clientData/>
  </xdr:twoCellAnchor>
  <xdr:twoCellAnchor>
    <xdr:from>
      <xdr:col>13</xdr:col>
      <xdr:colOff>115230</xdr:colOff>
      <xdr:row>30</xdr:row>
      <xdr:rowOff>26814</xdr:rowOff>
    </xdr:from>
    <xdr:to>
      <xdr:col>19</xdr:col>
      <xdr:colOff>742831</xdr:colOff>
      <xdr:row>38</xdr:row>
      <xdr:rowOff>143773</xdr:rowOff>
    </xdr:to>
    <xdr:grpSp>
      <xdr:nvGrpSpPr>
        <xdr:cNvPr id="1037" name="Group 1036">
          <a:extLst>
            <a:ext uri="{FF2B5EF4-FFF2-40B4-BE49-F238E27FC236}">
              <a16:creationId xmlns:a16="http://schemas.microsoft.com/office/drawing/2014/main" id="{FAF77379-C82F-BCA8-B323-D9103BCC2543}"/>
            </a:ext>
          </a:extLst>
        </xdr:cNvPr>
        <xdr:cNvGrpSpPr/>
      </xdr:nvGrpSpPr>
      <xdr:grpSpPr>
        <a:xfrm>
          <a:off x="8766018" y="6619201"/>
          <a:ext cx="4672464" cy="1924274"/>
          <a:chOff x="8202494" y="6292947"/>
          <a:chExt cx="4787378" cy="1706872"/>
        </a:xfrm>
      </xdr:grpSpPr>
      <xdr:grpSp>
        <xdr:nvGrpSpPr>
          <xdr:cNvPr id="119" name="Group 118">
            <a:extLst>
              <a:ext uri="{FF2B5EF4-FFF2-40B4-BE49-F238E27FC236}">
                <a16:creationId xmlns:a16="http://schemas.microsoft.com/office/drawing/2014/main" id="{677FBE61-2FBC-6064-A0EC-08BE3C5D34C3}"/>
              </a:ext>
            </a:extLst>
          </xdr:cNvPr>
          <xdr:cNvGrpSpPr/>
        </xdr:nvGrpSpPr>
        <xdr:grpSpPr>
          <a:xfrm>
            <a:off x="8202494" y="6292947"/>
            <a:ext cx="4787378" cy="1706872"/>
            <a:chOff x="7427545" y="6067294"/>
            <a:chExt cx="4514492" cy="1357492"/>
          </a:xfrm>
        </xdr:grpSpPr>
        <xdr:sp macro="" textlink="">
          <xdr:nvSpPr>
            <xdr:cNvPr id="21" name="Rectangle: Rounded Corners 20">
              <a:extLst>
                <a:ext uri="{FF2B5EF4-FFF2-40B4-BE49-F238E27FC236}">
                  <a16:creationId xmlns:a16="http://schemas.microsoft.com/office/drawing/2014/main" id="{EFCA699B-E77A-4ABA-BEDF-C06DB0A4C0C7}"/>
                </a:ext>
              </a:extLst>
            </xdr:cNvPr>
            <xdr:cNvSpPr/>
          </xdr:nvSpPr>
          <xdr:spPr>
            <a:xfrm>
              <a:off x="7427545" y="6067294"/>
              <a:ext cx="4514492" cy="1357492"/>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200" b="1" u="sng">
                <a:solidFill>
                  <a:schemeClr val="tx1"/>
                </a:solidFill>
              </a:endParaRPr>
            </a:p>
          </xdr:txBody>
        </xdr:sp>
        <xdr:sp macro="" textlink="$CF$4">
          <xdr:nvSpPr>
            <xdr:cNvPr id="99" name="TextBox 98">
              <a:extLst>
                <a:ext uri="{FF2B5EF4-FFF2-40B4-BE49-F238E27FC236}">
                  <a16:creationId xmlns:a16="http://schemas.microsoft.com/office/drawing/2014/main" id="{A92B95E7-D1C6-8A66-2CD5-4110D6F4AE1C}"/>
                </a:ext>
              </a:extLst>
            </xdr:cNvPr>
            <xdr:cNvSpPr txBox="1"/>
          </xdr:nvSpPr>
          <xdr:spPr>
            <a:xfrm>
              <a:off x="7566919" y="6379649"/>
              <a:ext cx="1323676" cy="17827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C5F187-6951-4460-9679-43782591AA9E}" type="TxLink">
                <a:rPr lang="en-US" sz="1100" b="0" i="0" u="none" strike="noStrike">
                  <a:solidFill>
                    <a:schemeClr val="accent6"/>
                  </a:solidFill>
                  <a:latin typeface="Aptos Narrow"/>
                  <a:cs typeface="Segoe UI"/>
                </a:rPr>
                <a:pPr algn="ctr"/>
                <a:t>Peak Month:</a:t>
              </a:fld>
              <a:endParaRPr lang="en-GB" sz="1100">
                <a:solidFill>
                  <a:schemeClr val="accent6"/>
                </a:solidFill>
              </a:endParaRPr>
            </a:p>
          </xdr:txBody>
        </xdr:sp>
        <xdr:sp macro="" textlink="$CF$5">
          <xdr:nvSpPr>
            <xdr:cNvPr id="100" name="TextBox 99">
              <a:extLst>
                <a:ext uri="{FF2B5EF4-FFF2-40B4-BE49-F238E27FC236}">
                  <a16:creationId xmlns:a16="http://schemas.microsoft.com/office/drawing/2014/main" id="{FAD73A2A-B800-470C-AB27-D29519575581}"/>
                </a:ext>
              </a:extLst>
            </xdr:cNvPr>
            <xdr:cNvSpPr txBox="1"/>
          </xdr:nvSpPr>
          <xdr:spPr>
            <a:xfrm>
              <a:off x="7566098" y="6575489"/>
              <a:ext cx="1324175" cy="178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0A12E3-971A-4109-8805-885DFE604D37}" type="TxLink">
                <a:rPr lang="en-US" sz="1100" b="0" i="0" u="none" strike="noStrike">
                  <a:solidFill>
                    <a:schemeClr val="accent6"/>
                  </a:solidFill>
                  <a:latin typeface="Aptos Narrow"/>
                  <a:cs typeface="Segoe UI"/>
                </a:rPr>
                <a:pPr algn="ctr"/>
                <a:t>Peak Value:</a:t>
              </a:fld>
              <a:endParaRPr lang="en-GB" sz="1100">
                <a:solidFill>
                  <a:schemeClr val="accent6"/>
                </a:solidFill>
              </a:endParaRPr>
            </a:p>
          </xdr:txBody>
        </xdr:sp>
        <xdr:sp macro="" textlink="$CF$6">
          <xdr:nvSpPr>
            <xdr:cNvPr id="104" name="TextBox 103">
              <a:extLst>
                <a:ext uri="{FF2B5EF4-FFF2-40B4-BE49-F238E27FC236}">
                  <a16:creationId xmlns:a16="http://schemas.microsoft.com/office/drawing/2014/main" id="{2C8E898D-4C57-46AB-B8A3-84686FD81A5D}"/>
                </a:ext>
              </a:extLst>
            </xdr:cNvPr>
            <xdr:cNvSpPr txBox="1"/>
          </xdr:nvSpPr>
          <xdr:spPr>
            <a:xfrm>
              <a:off x="7584035" y="6847810"/>
              <a:ext cx="1324175" cy="178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3D4609-99AD-422E-AEA0-7596FDEEE569}" type="TxLink">
                <a:rPr lang="en-US" sz="1100" b="0" i="0" u="none" strike="noStrike">
                  <a:solidFill>
                    <a:srgbClr val="FF0000"/>
                  </a:solidFill>
                  <a:latin typeface="Aptos Narrow"/>
                  <a:cs typeface="Segoe UI"/>
                </a:rPr>
                <a:pPr algn="ctr"/>
                <a:t>Lowest Month:</a:t>
              </a:fld>
              <a:endParaRPr lang="en-GB" sz="1100">
                <a:solidFill>
                  <a:srgbClr val="FF0000"/>
                </a:solidFill>
              </a:endParaRPr>
            </a:p>
          </xdr:txBody>
        </xdr:sp>
        <xdr:sp macro="" textlink="$CF$7">
          <xdr:nvSpPr>
            <xdr:cNvPr id="105" name="TextBox 104">
              <a:extLst>
                <a:ext uri="{FF2B5EF4-FFF2-40B4-BE49-F238E27FC236}">
                  <a16:creationId xmlns:a16="http://schemas.microsoft.com/office/drawing/2014/main" id="{4934D331-6AA0-44FF-8EEB-C9E624B2BB12}"/>
                </a:ext>
              </a:extLst>
            </xdr:cNvPr>
            <xdr:cNvSpPr txBox="1"/>
          </xdr:nvSpPr>
          <xdr:spPr>
            <a:xfrm>
              <a:off x="7575800" y="7033410"/>
              <a:ext cx="1324175" cy="17827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FD72C9-93AF-4A00-95B2-EF86226BCC3C}" type="TxLink">
                <a:rPr lang="en-US" sz="1100" b="0" i="0" u="none" strike="noStrike">
                  <a:solidFill>
                    <a:srgbClr val="FF0000"/>
                  </a:solidFill>
                  <a:latin typeface="Aptos Narrow"/>
                  <a:cs typeface="Segoe UI"/>
                </a:rPr>
                <a:pPr algn="ctr"/>
                <a:t>Lowest Value:</a:t>
              </a:fld>
              <a:endParaRPr lang="en-GB" sz="1100">
                <a:solidFill>
                  <a:srgbClr val="FF0000"/>
                </a:solidFill>
              </a:endParaRPr>
            </a:p>
          </xdr:txBody>
        </xdr:sp>
        <xdr:sp macro="" textlink="$CF$8">
          <xdr:nvSpPr>
            <xdr:cNvPr id="106" name="TextBox 105">
              <a:extLst>
                <a:ext uri="{FF2B5EF4-FFF2-40B4-BE49-F238E27FC236}">
                  <a16:creationId xmlns:a16="http://schemas.microsoft.com/office/drawing/2014/main" id="{5816F621-23A8-4A3C-9D05-6F82A072436F}"/>
                </a:ext>
              </a:extLst>
            </xdr:cNvPr>
            <xdr:cNvSpPr txBox="1"/>
          </xdr:nvSpPr>
          <xdr:spPr>
            <a:xfrm>
              <a:off x="9674805" y="6866942"/>
              <a:ext cx="1297050" cy="16176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FE76A4-B466-4E2B-A105-0780602A117F}" type="TxLink">
                <a:rPr lang="en-US" sz="1100" b="0" i="0" u="none" strike="noStrike">
                  <a:solidFill>
                    <a:schemeClr val="accent1"/>
                  </a:solidFill>
                  <a:latin typeface="Aptos Narrow"/>
                  <a:cs typeface="Segoe UI"/>
                </a:rPr>
                <a:pPr algn="ctr"/>
                <a:t>Monthly Average:</a:t>
              </a:fld>
              <a:endParaRPr lang="en-GB" sz="1100">
                <a:solidFill>
                  <a:schemeClr val="accent1"/>
                </a:solidFill>
              </a:endParaRPr>
            </a:p>
          </xdr:txBody>
        </xdr:sp>
        <xdr:sp macro="" textlink="$CG$4">
          <xdr:nvSpPr>
            <xdr:cNvPr id="108" name="TextBox 107">
              <a:extLst>
                <a:ext uri="{FF2B5EF4-FFF2-40B4-BE49-F238E27FC236}">
                  <a16:creationId xmlns:a16="http://schemas.microsoft.com/office/drawing/2014/main" id="{51AE98E9-789E-DB0D-E598-8610D16DC80C}"/>
                </a:ext>
              </a:extLst>
            </xdr:cNvPr>
            <xdr:cNvSpPr txBox="1"/>
          </xdr:nvSpPr>
          <xdr:spPr>
            <a:xfrm>
              <a:off x="8606257" y="6383266"/>
              <a:ext cx="640573" cy="16922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DD0EDB-0652-4E80-A920-D2614F2F4091}" type="TxLink">
                <a:rPr lang="en-US" sz="1100" b="0" i="0" u="none" strike="noStrike">
                  <a:solidFill>
                    <a:srgbClr val="000000"/>
                  </a:solidFill>
                  <a:latin typeface="Segoe UI"/>
                  <a:cs typeface="Segoe UI"/>
                </a:rPr>
                <a:pPr algn="ctr"/>
                <a:t>Jul-26</a:t>
              </a:fld>
              <a:endParaRPr lang="en-GB" sz="1000"/>
            </a:p>
          </xdr:txBody>
        </xdr:sp>
        <xdr:sp macro="" textlink="$CG$5">
          <xdr:nvSpPr>
            <xdr:cNvPr id="109" name="TextBox 108">
              <a:extLst>
                <a:ext uri="{FF2B5EF4-FFF2-40B4-BE49-F238E27FC236}">
                  <a16:creationId xmlns:a16="http://schemas.microsoft.com/office/drawing/2014/main" id="{EB4322D7-CD15-42A9-83BB-F94C75F8B10A}"/>
                </a:ext>
              </a:extLst>
            </xdr:cNvPr>
            <xdr:cNvSpPr txBox="1"/>
          </xdr:nvSpPr>
          <xdr:spPr>
            <a:xfrm>
              <a:off x="8602260" y="6588977"/>
              <a:ext cx="734134" cy="15625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3514D8-E28B-4840-9631-A881128B609A}" type="TxLink">
                <a:rPr lang="en-US" sz="1000" b="0" i="0" u="none" strike="noStrike">
                  <a:solidFill>
                    <a:srgbClr val="000000"/>
                  </a:solidFill>
                  <a:latin typeface="Aptos Narrow"/>
                </a:rPr>
                <a:pPr algn="ctr"/>
                <a:t>698,800</a:t>
              </a:fld>
              <a:endParaRPr lang="en-GB" sz="1000"/>
            </a:p>
          </xdr:txBody>
        </xdr:sp>
        <xdr:sp macro="" textlink="$CG$6">
          <xdr:nvSpPr>
            <xdr:cNvPr id="110" name="TextBox 109">
              <a:extLst>
                <a:ext uri="{FF2B5EF4-FFF2-40B4-BE49-F238E27FC236}">
                  <a16:creationId xmlns:a16="http://schemas.microsoft.com/office/drawing/2014/main" id="{1889FCE7-64A2-4F4D-B905-C2430E4EBA53}"/>
                </a:ext>
              </a:extLst>
            </xdr:cNvPr>
            <xdr:cNvSpPr txBox="1"/>
          </xdr:nvSpPr>
          <xdr:spPr>
            <a:xfrm>
              <a:off x="8674875" y="6848299"/>
              <a:ext cx="640724" cy="16922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84AA16-6657-41DF-A017-88E815B446E8}" type="TxLink">
                <a:rPr lang="en-US" sz="1100" b="0" i="0" u="none" strike="noStrike">
                  <a:solidFill>
                    <a:srgbClr val="000000"/>
                  </a:solidFill>
                  <a:latin typeface="Segoe UI"/>
                  <a:cs typeface="Segoe UI"/>
                </a:rPr>
                <a:pPr algn="ctr"/>
                <a:t>Nov-26</a:t>
              </a:fld>
              <a:endParaRPr lang="en-GB" sz="1000"/>
            </a:p>
          </xdr:txBody>
        </xdr:sp>
        <xdr:sp macro="" textlink="$CG$7">
          <xdr:nvSpPr>
            <xdr:cNvPr id="111" name="TextBox 110">
              <a:extLst>
                <a:ext uri="{FF2B5EF4-FFF2-40B4-BE49-F238E27FC236}">
                  <a16:creationId xmlns:a16="http://schemas.microsoft.com/office/drawing/2014/main" id="{44195687-1E9E-4D2E-B41F-43F55C3EFBFB}"/>
                </a:ext>
              </a:extLst>
            </xdr:cNvPr>
            <xdr:cNvSpPr txBox="1"/>
          </xdr:nvSpPr>
          <xdr:spPr>
            <a:xfrm>
              <a:off x="8619427" y="7044464"/>
              <a:ext cx="798372" cy="1799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655061-881D-4012-ACF0-BE199807A6DF}" type="TxLink">
                <a:rPr lang="en-US" sz="1000" b="0" i="0" u="none" strike="noStrike">
                  <a:solidFill>
                    <a:srgbClr val="000000"/>
                  </a:solidFill>
                  <a:latin typeface="Aptos Narrow"/>
                  <a:cs typeface="Segoe UI"/>
                </a:rPr>
                <a:pPr algn="ctr"/>
                <a:t>207,700</a:t>
              </a:fld>
              <a:endParaRPr lang="en-GB" sz="1000"/>
            </a:p>
          </xdr:txBody>
        </xdr:sp>
        <xdr:sp macro="" textlink="$CG$8">
          <xdr:nvSpPr>
            <xdr:cNvPr id="112" name="TextBox 111">
              <a:extLst>
                <a:ext uri="{FF2B5EF4-FFF2-40B4-BE49-F238E27FC236}">
                  <a16:creationId xmlns:a16="http://schemas.microsoft.com/office/drawing/2014/main" id="{B6BCF029-5536-4CCB-B9C0-F07B128FB0CD}"/>
                </a:ext>
              </a:extLst>
            </xdr:cNvPr>
            <xdr:cNvSpPr txBox="1"/>
          </xdr:nvSpPr>
          <xdr:spPr>
            <a:xfrm>
              <a:off x="11023541" y="6858905"/>
              <a:ext cx="747586" cy="158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78CF08-F6CC-442A-954A-64A57DBA72DF}" type="TxLink">
                <a:rPr lang="en-US" sz="1000" b="0" i="0" u="none" strike="noStrike">
                  <a:solidFill>
                    <a:schemeClr val="accent1"/>
                  </a:solidFill>
                  <a:latin typeface="Segoe UI"/>
                  <a:cs typeface="Segoe UI"/>
                </a:rPr>
                <a:pPr algn="ctr"/>
                <a:t>435,596</a:t>
              </a:fld>
              <a:endParaRPr lang="en-GB" sz="1000">
                <a:solidFill>
                  <a:schemeClr val="accent1"/>
                </a:solidFill>
              </a:endParaRPr>
            </a:p>
          </xdr:txBody>
        </xdr:sp>
        <xdr:sp macro="" textlink="$CF$3">
          <xdr:nvSpPr>
            <xdr:cNvPr id="114" name="TextBox 113">
              <a:extLst>
                <a:ext uri="{FF2B5EF4-FFF2-40B4-BE49-F238E27FC236}">
                  <a16:creationId xmlns:a16="http://schemas.microsoft.com/office/drawing/2014/main" id="{2497599C-F9CA-39AE-B80F-DDD033539C65}"/>
                </a:ext>
              </a:extLst>
            </xdr:cNvPr>
            <xdr:cNvSpPr txBox="1"/>
          </xdr:nvSpPr>
          <xdr:spPr>
            <a:xfrm>
              <a:off x="8417012" y="6126177"/>
              <a:ext cx="2712265" cy="16829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785F5D-4CE2-4B72-A97E-C7FC38AB07A2}" type="TxLink">
                <a:rPr lang="en-US" sz="1100" b="1" i="0" u="sng" strike="noStrike">
                  <a:solidFill>
                    <a:sysClr val="windowText" lastClr="000000"/>
                  </a:solidFill>
                  <a:latin typeface="Aptos Narrow"/>
                </a:rPr>
                <a:pPr algn="ctr"/>
                <a:t>X - Video Views Insights</a:t>
              </a:fld>
              <a:endParaRPr lang="en-GB" sz="1200" b="1" u="sng">
                <a:solidFill>
                  <a:sysClr val="windowText" lastClr="000000"/>
                </a:solidFill>
              </a:endParaRPr>
            </a:p>
          </xdr:txBody>
        </xdr:sp>
        <xdr:sp macro="" textlink="$CF$9">
          <xdr:nvSpPr>
            <xdr:cNvPr id="115" name="TextBox 114">
              <a:extLst>
                <a:ext uri="{FF2B5EF4-FFF2-40B4-BE49-F238E27FC236}">
                  <a16:creationId xmlns:a16="http://schemas.microsoft.com/office/drawing/2014/main" id="{FEF72605-2EBD-42B5-9725-039569C8DE55}"/>
                </a:ext>
              </a:extLst>
            </xdr:cNvPr>
            <xdr:cNvSpPr txBox="1"/>
          </xdr:nvSpPr>
          <xdr:spPr>
            <a:xfrm>
              <a:off x="9705306" y="6387365"/>
              <a:ext cx="1323524" cy="17827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ECCB85-92E2-4CEA-AE40-940E7938E283}" type="TxLink">
                <a:rPr lang="en-US" sz="1100" b="0" i="0" u="none" strike="noStrike">
                  <a:solidFill>
                    <a:srgbClr val="000000"/>
                  </a:solidFill>
                  <a:latin typeface="Aptos Narrow"/>
                  <a:cs typeface="Segoe UI"/>
                </a:rPr>
                <a:pPr algn="ctr"/>
                <a:t>Selected Month:</a:t>
              </a:fld>
              <a:endParaRPr lang="en-GB" sz="1100"/>
            </a:p>
          </xdr:txBody>
        </xdr:sp>
        <xdr:sp macro="" textlink="$CF$10">
          <xdr:nvSpPr>
            <xdr:cNvPr id="116" name="TextBox 115">
              <a:extLst>
                <a:ext uri="{FF2B5EF4-FFF2-40B4-BE49-F238E27FC236}">
                  <a16:creationId xmlns:a16="http://schemas.microsoft.com/office/drawing/2014/main" id="{327BD93A-9BB0-4350-A891-DE390B7A1523}"/>
                </a:ext>
              </a:extLst>
            </xdr:cNvPr>
            <xdr:cNvSpPr txBox="1"/>
          </xdr:nvSpPr>
          <xdr:spPr>
            <a:xfrm>
              <a:off x="9696946" y="6582685"/>
              <a:ext cx="1489232" cy="1796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A9BE49-B7FF-40AE-AB72-0F11938425CA}" type="TxLink">
                <a:rPr lang="en-US" sz="1100" b="0" i="0" u="none" strike="noStrike">
                  <a:solidFill>
                    <a:schemeClr val="bg2">
                      <a:lumMod val="25000"/>
                    </a:schemeClr>
                  </a:solidFill>
                  <a:latin typeface="Aptos Narrow"/>
                  <a:cs typeface="Segoe UI"/>
                </a:rPr>
                <a:pPr algn="ctr"/>
                <a:t>Selected Month Value:</a:t>
              </a:fld>
              <a:endParaRPr lang="en-GB" sz="1100">
                <a:solidFill>
                  <a:schemeClr val="bg2">
                    <a:lumMod val="25000"/>
                  </a:schemeClr>
                </a:solidFill>
              </a:endParaRPr>
            </a:p>
          </xdr:txBody>
        </xdr:sp>
        <xdr:sp macro="" textlink="$CG$9">
          <xdr:nvSpPr>
            <xdr:cNvPr id="117" name="TextBox 116">
              <a:extLst>
                <a:ext uri="{FF2B5EF4-FFF2-40B4-BE49-F238E27FC236}">
                  <a16:creationId xmlns:a16="http://schemas.microsoft.com/office/drawing/2014/main" id="{78DFD55A-49EF-4B97-A1BF-90132B3712F7}"/>
                </a:ext>
              </a:extLst>
            </xdr:cNvPr>
            <xdr:cNvSpPr txBox="1"/>
          </xdr:nvSpPr>
          <xdr:spPr>
            <a:xfrm>
              <a:off x="11060908" y="6390493"/>
              <a:ext cx="713360" cy="17577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CCE0CB-640C-4DF5-96C7-640E1F2771D1}" type="TxLink">
                <a:rPr lang="en-US" sz="1000" b="0" i="0" u="none" strike="noStrike">
                  <a:solidFill>
                    <a:srgbClr val="000000"/>
                  </a:solidFill>
                  <a:latin typeface="Arial Unicode MS"/>
                  <a:cs typeface="Segoe UI"/>
                </a:rPr>
                <a:pPr algn="ctr"/>
                <a:t>Dec-26</a:t>
              </a:fld>
              <a:endParaRPr lang="en-GB" sz="1000"/>
            </a:p>
          </xdr:txBody>
        </xdr:sp>
        <xdr:sp macro="" textlink="$CG$10">
          <xdr:nvSpPr>
            <xdr:cNvPr id="118" name="TextBox 117">
              <a:extLst>
                <a:ext uri="{FF2B5EF4-FFF2-40B4-BE49-F238E27FC236}">
                  <a16:creationId xmlns:a16="http://schemas.microsoft.com/office/drawing/2014/main" id="{85D7805C-903B-4D72-AF65-257574696D19}"/>
                </a:ext>
              </a:extLst>
            </xdr:cNvPr>
            <xdr:cNvSpPr txBox="1"/>
          </xdr:nvSpPr>
          <xdr:spPr>
            <a:xfrm>
              <a:off x="11050698" y="6582343"/>
              <a:ext cx="794435" cy="19011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F09B44-D00D-41C9-9515-FEE87CFC2C69}" type="TxLink">
                <a:rPr lang="en-US" sz="1000" b="0" i="0" u="none" strike="noStrike">
                  <a:solidFill>
                    <a:srgbClr val="000000"/>
                  </a:solidFill>
                  <a:latin typeface="Arial Unicode MS"/>
                  <a:cs typeface="Segoe UI"/>
                </a:rPr>
                <a:pPr algn="ctr"/>
                <a:t>255,432</a:t>
              </a:fld>
              <a:endParaRPr lang="en-GB" sz="1000"/>
            </a:p>
          </xdr:txBody>
        </xdr:sp>
      </xdr:grpSp>
      <xdr:sp macro="" textlink="$CF$11">
        <xdr:nvSpPr>
          <xdr:cNvPr id="1034" name="TextBox 1033">
            <a:extLst>
              <a:ext uri="{FF2B5EF4-FFF2-40B4-BE49-F238E27FC236}">
                <a16:creationId xmlns:a16="http://schemas.microsoft.com/office/drawing/2014/main" id="{7049E6D5-496D-4C92-94D1-20F98EC1D8DC}"/>
              </a:ext>
            </a:extLst>
          </xdr:cNvPr>
          <xdr:cNvSpPr txBox="1"/>
        </xdr:nvSpPr>
        <xdr:spPr>
          <a:xfrm>
            <a:off x="10455353" y="7515023"/>
            <a:ext cx="1462014" cy="25220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42F105-AFDB-4C4D-870D-B697FF95AABA}" type="TxLink">
              <a:rPr lang="en-US" sz="1100" b="1" i="0" u="none" strike="noStrike">
                <a:solidFill>
                  <a:srgbClr val="000000"/>
                </a:solidFill>
                <a:latin typeface="Aptos Narrow"/>
                <a:cs typeface="Segoe UI"/>
              </a:rPr>
              <a:pPr algn="ctr"/>
              <a:t>Performance vs Avg:</a:t>
            </a:fld>
            <a:endParaRPr lang="en-GB" sz="1100" b="1">
              <a:solidFill>
                <a:schemeClr val="accent1"/>
              </a:solidFill>
            </a:endParaRPr>
          </a:p>
        </xdr:txBody>
      </xdr:sp>
      <xdr:sp macro="" textlink="$CH$11">
        <xdr:nvSpPr>
          <xdr:cNvPr id="1035" name="TextBox 1034">
            <a:extLst>
              <a:ext uri="{FF2B5EF4-FFF2-40B4-BE49-F238E27FC236}">
                <a16:creationId xmlns:a16="http://schemas.microsoft.com/office/drawing/2014/main" id="{40225101-EDF7-4283-B734-EF4A905E40E9}"/>
              </a:ext>
            </a:extLst>
          </xdr:cNvPr>
          <xdr:cNvSpPr txBox="1"/>
        </xdr:nvSpPr>
        <xdr:spPr>
          <a:xfrm>
            <a:off x="11874516" y="7538138"/>
            <a:ext cx="904063" cy="19576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8B4BD2-F767-4291-8562-13015EB4ABC9}" type="TxLink">
              <a:rPr lang="en-US" sz="1100" b="1" i="0" u="none" strike="noStrike">
                <a:solidFill>
                  <a:srgbClr val="000000"/>
                </a:solidFill>
                <a:latin typeface="Aptos Narrow"/>
                <a:cs typeface="Segoe UI"/>
              </a:rPr>
              <a:pPr algn="ctr"/>
              <a:t>▼ 41.4%</a:t>
            </a:fld>
            <a:endParaRPr lang="en-US" sz="1000" b="1" i="0" u="none" strike="noStrike">
              <a:solidFill>
                <a:schemeClr val="accent1"/>
              </a:solidFill>
              <a:latin typeface="Segoe UI"/>
              <a:cs typeface="Segoe UI"/>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88726</xdr:colOff>
      <xdr:row>0</xdr:row>
      <xdr:rowOff>76896</xdr:rowOff>
    </xdr:from>
    <xdr:to>
      <xdr:col>8</xdr:col>
      <xdr:colOff>184408</xdr:colOff>
      <xdr:row>12</xdr:row>
      <xdr:rowOff>137410</xdr:rowOff>
    </xdr:to>
    <mc:AlternateContent xmlns:mc="http://schemas.openxmlformats.org/markup-compatibility/2006" xmlns:a14="http://schemas.microsoft.com/office/drawing/2010/main">
      <mc:Choice Requires="a14">
        <xdr:graphicFrame macro="">
          <xdr:nvGraphicFramePr>
            <xdr:cNvPr id="2" name="Metric 1">
              <a:extLst>
                <a:ext uri="{FF2B5EF4-FFF2-40B4-BE49-F238E27FC236}">
                  <a16:creationId xmlns:a16="http://schemas.microsoft.com/office/drawing/2014/main" id="{B3AA5ED7-B76B-AEF0-2182-B21A872FF18C}"/>
                </a:ext>
              </a:extLst>
            </xdr:cNvPr>
            <xdr:cNvGraphicFramePr/>
          </xdr:nvGraphicFramePr>
          <xdr:xfrm>
            <a:off x="0" y="0"/>
            <a:ext cx="0" cy="0"/>
          </xdr:xfrm>
          <a:graphic>
            <a:graphicData uri="http://schemas.microsoft.com/office/drawing/2010/slicer">
              <sle:slicer xmlns:sle="http://schemas.microsoft.com/office/drawing/2010/slicer" name="Metric 1"/>
            </a:graphicData>
          </a:graphic>
        </xdr:graphicFrame>
      </mc:Choice>
      <mc:Fallback xmlns="">
        <xdr:sp macro="" textlink="">
          <xdr:nvSpPr>
            <xdr:cNvPr id="0" name=""/>
            <xdr:cNvSpPr>
              <a:spLocks noTextEdit="1"/>
            </xdr:cNvSpPr>
          </xdr:nvSpPr>
          <xdr:spPr>
            <a:xfrm>
              <a:off x="3369559" y="76896"/>
              <a:ext cx="1837122" cy="2600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389699</xdr:colOff>
      <xdr:row>0</xdr:row>
      <xdr:rowOff>47624</xdr:rowOff>
    </xdr:from>
    <xdr:to>
      <xdr:col>22</xdr:col>
      <xdr:colOff>0</xdr:colOff>
      <xdr:row>22</xdr:row>
      <xdr:rowOff>93382</xdr:rowOff>
    </xdr:to>
    <xdr:graphicFrame macro="">
      <xdr:nvGraphicFramePr>
        <xdr:cNvPr id="3" name="Chart 2">
          <a:extLst>
            <a:ext uri="{FF2B5EF4-FFF2-40B4-BE49-F238E27FC236}">
              <a16:creationId xmlns:a16="http://schemas.microsoft.com/office/drawing/2014/main" id="{D033461B-EBA4-0C9E-7763-7DA3FDE7A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540628</xdr:colOff>
      <xdr:row>0</xdr:row>
      <xdr:rowOff>0</xdr:rowOff>
    </xdr:from>
    <xdr:to>
      <xdr:col>35</xdr:col>
      <xdr:colOff>270809</xdr:colOff>
      <xdr:row>22</xdr:row>
      <xdr:rowOff>84044</xdr:rowOff>
    </xdr:to>
    <xdr:graphicFrame macro="">
      <xdr:nvGraphicFramePr>
        <xdr:cNvPr id="4" name="Chart 3">
          <a:extLst>
            <a:ext uri="{FF2B5EF4-FFF2-40B4-BE49-F238E27FC236}">
              <a16:creationId xmlns:a16="http://schemas.microsoft.com/office/drawing/2014/main" id="{24AB7F3D-B1C5-C0C8-1C99-81C212682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389231</xdr:colOff>
      <xdr:row>24</xdr:row>
      <xdr:rowOff>9338</xdr:rowOff>
    </xdr:from>
    <xdr:to>
      <xdr:col>22</xdr:col>
      <xdr:colOff>46693</xdr:colOff>
      <xdr:row>47</xdr:row>
      <xdr:rowOff>0</xdr:rowOff>
    </xdr:to>
    <xdr:graphicFrame macro="">
      <xdr:nvGraphicFramePr>
        <xdr:cNvPr id="6" name="Chart 5">
          <a:extLst>
            <a:ext uri="{FF2B5EF4-FFF2-40B4-BE49-F238E27FC236}">
              <a16:creationId xmlns:a16="http://schemas.microsoft.com/office/drawing/2014/main" id="{F5BA314D-F6C8-7553-EAE2-DCEFE0280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6350</xdr:colOff>
      <xdr:row>0</xdr:row>
      <xdr:rowOff>69850</xdr:rowOff>
    </xdr:from>
    <xdr:to>
      <xdr:col>5</xdr:col>
      <xdr:colOff>355600</xdr:colOff>
      <xdr:row>13</xdr:row>
      <xdr:rowOff>29187</xdr:rowOff>
    </xdr:to>
    <mc:AlternateContent xmlns:mc="http://schemas.openxmlformats.org/markup-compatibility/2006" xmlns:a14="http://schemas.microsoft.com/office/drawing/2010/main">
      <mc:Choice Requires="a14">
        <xdr:graphicFrame macro="">
          <xdr:nvGraphicFramePr>
            <xdr:cNvPr id="2" name="Metric">
              <a:extLst>
                <a:ext uri="{FF2B5EF4-FFF2-40B4-BE49-F238E27FC236}">
                  <a16:creationId xmlns:a16="http://schemas.microsoft.com/office/drawing/2014/main" id="{0460130E-A04B-222F-1B7B-DC2621015BB4}"/>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2577076" y="69850"/>
              <a:ext cx="1834331" cy="2622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540773</xdr:colOff>
      <xdr:row>0</xdr:row>
      <xdr:rowOff>0</xdr:rowOff>
    </xdr:from>
    <xdr:to>
      <xdr:col>14</xdr:col>
      <xdr:colOff>378951</xdr:colOff>
      <xdr:row>17</xdr:row>
      <xdr:rowOff>20484</xdr:rowOff>
    </xdr:to>
    <xdr:graphicFrame macro="">
      <xdr:nvGraphicFramePr>
        <xdr:cNvPr id="3" name="Chart 2">
          <a:extLst>
            <a:ext uri="{FF2B5EF4-FFF2-40B4-BE49-F238E27FC236}">
              <a16:creationId xmlns:a16="http://schemas.microsoft.com/office/drawing/2014/main" id="{B5B3E154-54CC-9088-2414-801E03438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85007</xdr:colOff>
      <xdr:row>0</xdr:row>
      <xdr:rowOff>5940</xdr:rowOff>
    </xdr:from>
    <xdr:to>
      <xdr:col>24</xdr:col>
      <xdr:colOff>-1</xdr:colOff>
      <xdr:row>17</xdr:row>
      <xdr:rowOff>30726</xdr:rowOff>
    </xdr:to>
    <xdr:graphicFrame macro="">
      <xdr:nvGraphicFramePr>
        <xdr:cNvPr id="4" name="Chart 3">
          <a:extLst>
            <a:ext uri="{FF2B5EF4-FFF2-40B4-BE49-F238E27FC236}">
              <a16:creationId xmlns:a16="http://schemas.microsoft.com/office/drawing/2014/main" id="{9AD1EB10-7C4C-8ECB-4EA2-ADAE44DB2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576621</xdr:colOff>
      <xdr:row>18</xdr:row>
      <xdr:rowOff>46908</xdr:rowOff>
    </xdr:from>
    <xdr:to>
      <xdr:col>14</xdr:col>
      <xdr:colOff>440403</xdr:colOff>
      <xdr:row>35</xdr:row>
      <xdr:rowOff>71694</xdr:rowOff>
    </xdr:to>
    <xdr:graphicFrame macro="">
      <xdr:nvGraphicFramePr>
        <xdr:cNvPr id="5" name="Chart 4">
          <a:extLst>
            <a:ext uri="{FF2B5EF4-FFF2-40B4-BE49-F238E27FC236}">
              <a16:creationId xmlns:a16="http://schemas.microsoft.com/office/drawing/2014/main" id="{4DE189A2-F6B0-7D75-3B13-CDF2D9424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singh" refreshedDate="46231.392167824073" createdVersion="8" refreshedVersion="8" minRefreshableVersion="3" recordCount="420" xr:uid="{E2CDCD84-9245-459D-81A6-829A19D9A005}">
  <cacheSource type="worksheet">
    <worksheetSource name="WomData_1"/>
  </cacheSource>
  <cacheFields count="3">
    <cacheField name="Metric" numFmtId="0">
      <sharedItems count="30">
        <s v="X - Followers"/>
        <s v="X - Impressions"/>
        <s v="X - Engagement rate"/>
        <s v="X - Engagements"/>
        <s v="X - Profile visits"/>
        <s v="X - Replies"/>
        <s v="X - Likes"/>
        <s v="X - Reposts"/>
        <s v="X - Bookmarks"/>
        <s v="X - Shares"/>
        <s v="X - Video Views"/>
        <s v="TT - Views"/>
        <s v="TT -Profile Views"/>
        <s v="TT - Likes"/>
        <s v="TT - Comments"/>
        <s v="TT - Shares"/>
        <s v="TT - New Viewers"/>
        <s v="IG - Reel and Post Views"/>
        <s v="IG - Interactions"/>
        <s v="IG - New Followers"/>
        <s v="IG - Profile Visits"/>
        <s v="THREADS - Views"/>
        <s v="THREADS - Interactions"/>
        <s v="FB - Views"/>
        <s v="FB - Reach"/>
        <s v="FB - Contect interactions"/>
        <s v="FB - Follows"/>
        <s v="LINKEDIN - Impressions"/>
        <s v="LINKEDIN - Reactions"/>
        <s v="LINKEDIN - Comments"/>
      </sharedItems>
    </cacheField>
    <cacheField name="Month" numFmtId="0">
      <sharedItems count="14">
        <s v="May-26"/>
        <s v="Jun-26"/>
        <s v="Jul-26"/>
        <s v="Aug-26"/>
        <s v="Sep-26"/>
        <s v="Oct-26"/>
        <s v="Nov-26"/>
        <s v="Dec-26"/>
        <s v="Jan-27"/>
        <s v="Feb-27"/>
        <s v="Mar-27"/>
        <s v="Apr-27"/>
        <s v="May-27"/>
        <s v="Jun-27"/>
      </sharedItems>
    </cacheField>
    <cacheField name="Value" numFmtId="0">
      <sharedItems containsSemiMixedTypes="0" containsString="0" containsNumber="1" containsInteger="1" minValue="2" maxValue="12"/>
    </cacheField>
  </cacheFields>
  <extLst>
    <ext xmlns:x14="http://schemas.microsoft.com/office/spreadsheetml/2009/9/main" uri="{725AE2AE-9491-48be-B2B4-4EB974FC3084}">
      <x14:pivotCacheDefinition pivotCacheId="8557996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singh" refreshedDate="46233.32331388889" createdVersion="8" refreshedVersion="8" minRefreshableVersion="3" recordCount="420" xr:uid="{72705C75-0CC6-4DFA-A23B-E402CAD847F1}">
  <cacheSource type="worksheet">
    <worksheetSource name="MensData__4"/>
  </cacheSource>
  <cacheFields count="3">
    <cacheField name="Metric" numFmtId="0">
      <sharedItems count="30">
        <s v="X - Followers"/>
        <s v="X - Impressions"/>
        <s v="X - Engagement rate"/>
        <s v="X - Engagements"/>
        <s v="X - Profile visits"/>
        <s v="X - Replies"/>
        <s v="X - Likes"/>
        <s v="X - Reposts"/>
        <s v="X - Bookmarks"/>
        <s v="X - Shares"/>
        <s v="X - Video Views"/>
        <s v="TT - Views"/>
        <s v="TT -Profile Views"/>
        <s v="TT - Likes"/>
        <s v="TT - Comments"/>
        <s v="TT - Shares"/>
        <s v="TT - New Viewers"/>
        <s v="IG - Reel and Post Views"/>
        <s v="IG - Interactions"/>
        <s v="IG - New Followers"/>
        <s v="IG - Profile Visits"/>
        <s v="THREADS - Views"/>
        <s v="THREADS - Interactions"/>
        <s v="FB - Views"/>
        <s v="FB - Reach"/>
        <s v="FB - Contect interactions"/>
        <s v="FB - Follows"/>
        <s v="LINKEDIN - Impressions"/>
        <s v="LINKEDIN - Reactions"/>
        <s v="LINKEDIN - Comments"/>
      </sharedItems>
    </cacheField>
    <cacheField name="Month" numFmtId="0">
      <sharedItems count="14">
        <s v="May-26"/>
        <s v="Jun-26"/>
        <s v="Jul-26"/>
        <s v="Aug-26"/>
        <s v="Sep-26"/>
        <s v="Oct-26"/>
        <s v="Nov-26"/>
        <s v="Dec-26"/>
        <s v="Jan-27"/>
        <s v="Feb-27"/>
        <s v="Mar-27"/>
        <s v="Apr-27"/>
        <s v="May-27"/>
        <s v="Jun-27"/>
      </sharedItems>
    </cacheField>
    <cacheField name="Value" numFmtId="0">
      <sharedItems containsSemiMixedTypes="0" containsString="0" containsNumber="1" containsInteger="1" minValue="0" maxValue="9800000"/>
    </cacheField>
  </cacheFields>
  <extLst>
    <ext xmlns:x14="http://schemas.microsoft.com/office/spreadsheetml/2009/9/main" uri="{725AE2AE-9491-48be-B2B4-4EB974FC3084}">
      <x14:pivotCacheDefinition pivotCacheId="940087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n v="3"/>
  </r>
  <r>
    <x v="0"/>
    <x v="1"/>
    <n v="4"/>
  </r>
  <r>
    <x v="0"/>
    <x v="2"/>
    <n v="12"/>
  </r>
  <r>
    <x v="0"/>
    <x v="3"/>
    <n v="5"/>
  </r>
  <r>
    <x v="0"/>
    <x v="4"/>
    <n v="7"/>
  </r>
  <r>
    <x v="0"/>
    <x v="5"/>
    <n v="2"/>
  </r>
  <r>
    <x v="0"/>
    <x v="6"/>
    <n v="5"/>
  </r>
  <r>
    <x v="0"/>
    <x v="7"/>
    <n v="3"/>
  </r>
  <r>
    <x v="0"/>
    <x v="8"/>
    <n v="6"/>
  </r>
  <r>
    <x v="0"/>
    <x v="9"/>
    <n v="7"/>
  </r>
  <r>
    <x v="0"/>
    <x v="10"/>
    <n v="8"/>
  </r>
  <r>
    <x v="0"/>
    <x v="11"/>
    <n v="9"/>
  </r>
  <r>
    <x v="0"/>
    <x v="12"/>
    <n v="8"/>
  </r>
  <r>
    <x v="0"/>
    <x v="13"/>
    <n v="4"/>
  </r>
  <r>
    <x v="1"/>
    <x v="0"/>
    <n v="3"/>
  </r>
  <r>
    <x v="1"/>
    <x v="1"/>
    <n v="4"/>
  </r>
  <r>
    <x v="1"/>
    <x v="2"/>
    <n v="12"/>
  </r>
  <r>
    <x v="1"/>
    <x v="3"/>
    <n v="5"/>
  </r>
  <r>
    <x v="1"/>
    <x v="4"/>
    <n v="7"/>
  </r>
  <r>
    <x v="1"/>
    <x v="5"/>
    <n v="2"/>
  </r>
  <r>
    <x v="1"/>
    <x v="6"/>
    <n v="5"/>
  </r>
  <r>
    <x v="1"/>
    <x v="7"/>
    <n v="3"/>
  </r>
  <r>
    <x v="1"/>
    <x v="8"/>
    <n v="6"/>
  </r>
  <r>
    <x v="1"/>
    <x v="9"/>
    <n v="7"/>
  </r>
  <r>
    <x v="1"/>
    <x v="10"/>
    <n v="8"/>
  </r>
  <r>
    <x v="1"/>
    <x v="11"/>
    <n v="9"/>
  </r>
  <r>
    <x v="1"/>
    <x v="12"/>
    <n v="8"/>
  </r>
  <r>
    <x v="1"/>
    <x v="13"/>
    <n v="4"/>
  </r>
  <r>
    <x v="2"/>
    <x v="0"/>
    <n v="3"/>
  </r>
  <r>
    <x v="2"/>
    <x v="1"/>
    <n v="4"/>
  </r>
  <r>
    <x v="2"/>
    <x v="2"/>
    <n v="12"/>
  </r>
  <r>
    <x v="2"/>
    <x v="3"/>
    <n v="5"/>
  </r>
  <r>
    <x v="2"/>
    <x v="4"/>
    <n v="7"/>
  </r>
  <r>
    <x v="2"/>
    <x v="5"/>
    <n v="2"/>
  </r>
  <r>
    <x v="2"/>
    <x v="6"/>
    <n v="5"/>
  </r>
  <r>
    <x v="2"/>
    <x v="7"/>
    <n v="3"/>
  </r>
  <r>
    <x v="2"/>
    <x v="8"/>
    <n v="6"/>
  </r>
  <r>
    <x v="2"/>
    <x v="9"/>
    <n v="7"/>
  </r>
  <r>
    <x v="2"/>
    <x v="10"/>
    <n v="8"/>
  </r>
  <r>
    <x v="2"/>
    <x v="11"/>
    <n v="9"/>
  </r>
  <r>
    <x v="2"/>
    <x v="12"/>
    <n v="8"/>
  </r>
  <r>
    <x v="2"/>
    <x v="13"/>
    <n v="4"/>
  </r>
  <r>
    <x v="3"/>
    <x v="0"/>
    <n v="3"/>
  </r>
  <r>
    <x v="3"/>
    <x v="1"/>
    <n v="4"/>
  </r>
  <r>
    <x v="3"/>
    <x v="2"/>
    <n v="12"/>
  </r>
  <r>
    <x v="3"/>
    <x v="3"/>
    <n v="5"/>
  </r>
  <r>
    <x v="3"/>
    <x v="4"/>
    <n v="7"/>
  </r>
  <r>
    <x v="3"/>
    <x v="5"/>
    <n v="2"/>
  </r>
  <r>
    <x v="3"/>
    <x v="6"/>
    <n v="5"/>
  </r>
  <r>
    <x v="3"/>
    <x v="7"/>
    <n v="3"/>
  </r>
  <r>
    <x v="3"/>
    <x v="8"/>
    <n v="6"/>
  </r>
  <r>
    <x v="3"/>
    <x v="9"/>
    <n v="7"/>
  </r>
  <r>
    <x v="3"/>
    <x v="10"/>
    <n v="8"/>
  </r>
  <r>
    <x v="3"/>
    <x v="11"/>
    <n v="9"/>
  </r>
  <r>
    <x v="3"/>
    <x v="12"/>
    <n v="8"/>
  </r>
  <r>
    <x v="3"/>
    <x v="13"/>
    <n v="4"/>
  </r>
  <r>
    <x v="4"/>
    <x v="0"/>
    <n v="3"/>
  </r>
  <r>
    <x v="4"/>
    <x v="1"/>
    <n v="4"/>
  </r>
  <r>
    <x v="4"/>
    <x v="2"/>
    <n v="12"/>
  </r>
  <r>
    <x v="4"/>
    <x v="3"/>
    <n v="5"/>
  </r>
  <r>
    <x v="4"/>
    <x v="4"/>
    <n v="7"/>
  </r>
  <r>
    <x v="4"/>
    <x v="5"/>
    <n v="2"/>
  </r>
  <r>
    <x v="4"/>
    <x v="6"/>
    <n v="5"/>
  </r>
  <r>
    <x v="4"/>
    <x v="7"/>
    <n v="3"/>
  </r>
  <r>
    <x v="4"/>
    <x v="8"/>
    <n v="6"/>
  </r>
  <r>
    <x v="4"/>
    <x v="9"/>
    <n v="7"/>
  </r>
  <r>
    <x v="4"/>
    <x v="10"/>
    <n v="8"/>
  </r>
  <r>
    <x v="4"/>
    <x v="11"/>
    <n v="9"/>
  </r>
  <r>
    <x v="4"/>
    <x v="12"/>
    <n v="8"/>
  </r>
  <r>
    <x v="4"/>
    <x v="13"/>
    <n v="4"/>
  </r>
  <r>
    <x v="5"/>
    <x v="0"/>
    <n v="3"/>
  </r>
  <r>
    <x v="5"/>
    <x v="1"/>
    <n v="4"/>
  </r>
  <r>
    <x v="5"/>
    <x v="2"/>
    <n v="12"/>
  </r>
  <r>
    <x v="5"/>
    <x v="3"/>
    <n v="5"/>
  </r>
  <r>
    <x v="5"/>
    <x v="4"/>
    <n v="7"/>
  </r>
  <r>
    <x v="5"/>
    <x v="5"/>
    <n v="2"/>
  </r>
  <r>
    <x v="5"/>
    <x v="6"/>
    <n v="5"/>
  </r>
  <r>
    <x v="5"/>
    <x v="7"/>
    <n v="3"/>
  </r>
  <r>
    <x v="5"/>
    <x v="8"/>
    <n v="6"/>
  </r>
  <r>
    <x v="5"/>
    <x v="9"/>
    <n v="7"/>
  </r>
  <r>
    <x v="5"/>
    <x v="10"/>
    <n v="8"/>
  </r>
  <r>
    <x v="5"/>
    <x v="11"/>
    <n v="9"/>
  </r>
  <r>
    <x v="5"/>
    <x v="12"/>
    <n v="8"/>
  </r>
  <r>
    <x v="5"/>
    <x v="13"/>
    <n v="4"/>
  </r>
  <r>
    <x v="6"/>
    <x v="0"/>
    <n v="3"/>
  </r>
  <r>
    <x v="6"/>
    <x v="1"/>
    <n v="4"/>
  </r>
  <r>
    <x v="6"/>
    <x v="2"/>
    <n v="12"/>
  </r>
  <r>
    <x v="6"/>
    <x v="3"/>
    <n v="5"/>
  </r>
  <r>
    <x v="6"/>
    <x v="4"/>
    <n v="7"/>
  </r>
  <r>
    <x v="6"/>
    <x v="5"/>
    <n v="2"/>
  </r>
  <r>
    <x v="6"/>
    <x v="6"/>
    <n v="5"/>
  </r>
  <r>
    <x v="6"/>
    <x v="7"/>
    <n v="3"/>
  </r>
  <r>
    <x v="6"/>
    <x v="8"/>
    <n v="6"/>
  </r>
  <r>
    <x v="6"/>
    <x v="9"/>
    <n v="7"/>
  </r>
  <r>
    <x v="6"/>
    <x v="10"/>
    <n v="8"/>
  </r>
  <r>
    <x v="6"/>
    <x v="11"/>
    <n v="9"/>
  </r>
  <r>
    <x v="6"/>
    <x v="12"/>
    <n v="8"/>
  </r>
  <r>
    <x v="6"/>
    <x v="13"/>
    <n v="4"/>
  </r>
  <r>
    <x v="7"/>
    <x v="0"/>
    <n v="3"/>
  </r>
  <r>
    <x v="7"/>
    <x v="1"/>
    <n v="4"/>
  </r>
  <r>
    <x v="7"/>
    <x v="2"/>
    <n v="12"/>
  </r>
  <r>
    <x v="7"/>
    <x v="3"/>
    <n v="5"/>
  </r>
  <r>
    <x v="7"/>
    <x v="4"/>
    <n v="7"/>
  </r>
  <r>
    <x v="7"/>
    <x v="5"/>
    <n v="2"/>
  </r>
  <r>
    <x v="7"/>
    <x v="6"/>
    <n v="5"/>
  </r>
  <r>
    <x v="7"/>
    <x v="7"/>
    <n v="3"/>
  </r>
  <r>
    <x v="7"/>
    <x v="8"/>
    <n v="6"/>
  </r>
  <r>
    <x v="7"/>
    <x v="9"/>
    <n v="7"/>
  </r>
  <r>
    <x v="7"/>
    <x v="10"/>
    <n v="8"/>
  </r>
  <r>
    <x v="7"/>
    <x v="11"/>
    <n v="9"/>
  </r>
  <r>
    <x v="7"/>
    <x v="12"/>
    <n v="8"/>
  </r>
  <r>
    <x v="7"/>
    <x v="13"/>
    <n v="4"/>
  </r>
  <r>
    <x v="8"/>
    <x v="0"/>
    <n v="3"/>
  </r>
  <r>
    <x v="8"/>
    <x v="1"/>
    <n v="4"/>
  </r>
  <r>
    <x v="8"/>
    <x v="2"/>
    <n v="12"/>
  </r>
  <r>
    <x v="8"/>
    <x v="3"/>
    <n v="5"/>
  </r>
  <r>
    <x v="8"/>
    <x v="4"/>
    <n v="7"/>
  </r>
  <r>
    <x v="8"/>
    <x v="5"/>
    <n v="2"/>
  </r>
  <r>
    <x v="8"/>
    <x v="6"/>
    <n v="5"/>
  </r>
  <r>
    <x v="8"/>
    <x v="7"/>
    <n v="3"/>
  </r>
  <r>
    <x v="8"/>
    <x v="8"/>
    <n v="6"/>
  </r>
  <r>
    <x v="8"/>
    <x v="9"/>
    <n v="7"/>
  </r>
  <r>
    <x v="8"/>
    <x v="10"/>
    <n v="8"/>
  </r>
  <r>
    <x v="8"/>
    <x v="11"/>
    <n v="9"/>
  </r>
  <r>
    <x v="8"/>
    <x v="12"/>
    <n v="8"/>
  </r>
  <r>
    <x v="8"/>
    <x v="13"/>
    <n v="4"/>
  </r>
  <r>
    <x v="9"/>
    <x v="0"/>
    <n v="3"/>
  </r>
  <r>
    <x v="9"/>
    <x v="1"/>
    <n v="4"/>
  </r>
  <r>
    <x v="9"/>
    <x v="2"/>
    <n v="12"/>
  </r>
  <r>
    <x v="9"/>
    <x v="3"/>
    <n v="5"/>
  </r>
  <r>
    <x v="9"/>
    <x v="4"/>
    <n v="7"/>
  </r>
  <r>
    <x v="9"/>
    <x v="5"/>
    <n v="2"/>
  </r>
  <r>
    <x v="9"/>
    <x v="6"/>
    <n v="5"/>
  </r>
  <r>
    <x v="9"/>
    <x v="7"/>
    <n v="3"/>
  </r>
  <r>
    <x v="9"/>
    <x v="8"/>
    <n v="6"/>
  </r>
  <r>
    <x v="9"/>
    <x v="9"/>
    <n v="7"/>
  </r>
  <r>
    <x v="9"/>
    <x v="10"/>
    <n v="8"/>
  </r>
  <r>
    <x v="9"/>
    <x v="11"/>
    <n v="9"/>
  </r>
  <r>
    <x v="9"/>
    <x v="12"/>
    <n v="8"/>
  </r>
  <r>
    <x v="9"/>
    <x v="13"/>
    <n v="4"/>
  </r>
  <r>
    <x v="10"/>
    <x v="0"/>
    <n v="3"/>
  </r>
  <r>
    <x v="10"/>
    <x v="1"/>
    <n v="4"/>
  </r>
  <r>
    <x v="10"/>
    <x v="2"/>
    <n v="12"/>
  </r>
  <r>
    <x v="10"/>
    <x v="3"/>
    <n v="5"/>
  </r>
  <r>
    <x v="10"/>
    <x v="4"/>
    <n v="7"/>
  </r>
  <r>
    <x v="10"/>
    <x v="5"/>
    <n v="2"/>
  </r>
  <r>
    <x v="10"/>
    <x v="6"/>
    <n v="5"/>
  </r>
  <r>
    <x v="10"/>
    <x v="7"/>
    <n v="3"/>
  </r>
  <r>
    <x v="10"/>
    <x v="8"/>
    <n v="6"/>
  </r>
  <r>
    <x v="10"/>
    <x v="9"/>
    <n v="7"/>
  </r>
  <r>
    <x v="10"/>
    <x v="10"/>
    <n v="8"/>
  </r>
  <r>
    <x v="10"/>
    <x v="11"/>
    <n v="9"/>
  </r>
  <r>
    <x v="10"/>
    <x v="12"/>
    <n v="8"/>
  </r>
  <r>
    <x v="10"/>
    <x v="13"/>
    <n v="4"/>
  </r>
  <r>
    <x v="11"/>
    <x v="0"/>
    <n v="3"/>
  </r>
  <r>
    <x v="11"/>
    <x v="1"/>
    <n v="4"/>
  </r>
  <r>
    <x v="11"/>
    <x v="2"/>
    <n v="12"/>
  </r>
  <r>
    <x v="11"/>
    <x v="3"/>
    <n v="5"/>
  </r>
  <r>
    <x v="11"/>
    <x v="4"/>
    <n v="7"/>
  </r>
  <r>
    <x v="11"/>
    <x v="5"/>
    <n v="2"/>
  </r>
  <r>
    <x v="11"/>
    <x v="6"/>
    <n v="5"/>
  </r>
  <r>
    <x v="11"/>
    <x v="7"/>
    <n v="3"/>
  </r>
  <r>
    <x v="11"/>
    <x v="8"/>
    <n v="6"/>
  </r>
  <r>
    <x v="11"/>
    <x v="9"/>
    <n v="7"/>
  </r>
  <r>
    <x v="11"/>
    <x v="10"/>
    <n v="8"/>
  </r>
  <r>
    <x v="11"/>
    <x v="11"/>
    <n v="9"/>
  </r>
  <r>
    <x v="11"/>
    <x v="12"/>
    <n v="8"/>
  </r>
  <r>
    <x v="11"/>
    <x v="13"/>
    <n v="4"/>
  </r>
  <r>
    <x v="12"/>
    <x v="0"/>
    <n v="3"/>
  </r>
  <r>
    <x v="12"/>
    <x v="1"/>
    <n v="4"/>
  </r>
  <r>
    <x v="12"/>
    <x v="2"/>
    <n v="12"/>
  </r>
  <r>
    <x v="12"/>
    <x v="3"/>
    <n v="5"/>
  </r>
  <r>
    <x v="12"/>
    <x v="4"/>
    <n v="7"/>
  </r>
  <r>
    <x v="12"/>
    <x v="5"/>
    <n v="2"/>
  </r>
  <r>
    <x v="12"/>
    <x v="6"/>
    <n v="5"/>
  </r>
  <r>
    <x v="12"/>
    <x v="7"/>
    <n v="3"/>
  </r>
  <r>
    <x v="12"/>
    <x v="8"/>
    <n v="6"/>
  </r>
  <r>
    <x v="12"/>
    <x v="9"/>
    <n v="7"/>
  </r>
  <r>
    <x v="12"/>
    <x v="10"/>
    <n v="8"/>
  </r>
  <r>
    <x v="12"/>
    <x v="11"/>
    <n v="9"/>
  </r>
  <r>
    <x v="12"/>
    <x v="12"/>
    <n v="8"/>
  </r>
  <r>
    <x v="12"/>
    <x v="13"/>
    <n v="4"/>
  </r>
  <r>
    <x v="13"/>
    <x v="0"/>
    <n v="3"/>
  </r>
  <r>
    <x v="13"/>
    <x v="1"/>
    <n v="4"/>
  </r>
  <r>
    <x v="13"/>
    <x v="2"/>
    <n v="12"/>
  </r>
  <r>
    <x v="13"/>
    <x v="3"/>
    <n v="5"/>
  </r>
  <r>
    <x v="13"/>
    <x v="4"/>
    <n v="7"/>
  </r>
  <r>
    <x v="13"/>
    <x v="5"/>
    <n v="2"/>
  </r>
  <r>
    <x v="13"/>
    <x v="6"/>
    <n v="5"/>
  </r>
  <r>
    <x v="13"/>
    <x v="7"/>
    <n v="3"/>
  </r>
  <r>
    <x v="13"/>
    <x v="8"/>
    <n v="6"/>
  </r>
  <r>
    <x v="13"/>
    <x v="9"/>
    <n v="7"/>
  </r>
  <r>
    <x v="13"/>
    <x v="10"/>
    <n v="8"/>
  </r>
  <r>
    <x v="13"/>
    <x v="11"/>
    <n v="9"/>
  </r>
  <r>
    <x v="13"/>
    <x v="12"/>
    <n v="8"/>
  </r>
  <r>
    <x v="13"/>
    <x v="13"/>
    <n v="4"/>
  </r>
  <r>
    <x v="14"/>
    <x v="0"/>
    <n v="3"/>
  </r>
  <r>
    <x v="14"/>
    <x v="1"/>
    <n v="4"/>
  </r>
  <r>
    <x v="14"/>
    <x v="2"/>
    <n v="12"/>
  </r>
  <r>
    <x v="14"/>
    <x v="3"/>
    <n v="5"/>
  </r>
  <r>
    <x v="14"/>
    <x v="4"/>
    <n v="7"/>
  </r>
  <r>
    <x v="14"/>
    <x v="5"/>
    <n v="2"/>
  </r>
  <r>
    <x v="14"/>
    <x v="6"/>
    <n v="5"/>
  </r>
  <r>
    <x v="14"/>
    <x v="7"/>
    <n v="3"/>
  </r>
  <r>
    <x v="14"/>
    <x v="8"/>
    <n v="6"/>
  </r>
  <r>
    <x v="14"/>
    <x v="9"/>
    <n v="7"/>
  </r>
  <r>
    <x v="14"/>
    <x v="10"/>
    <n v="8"/>
  </r>
  <r>
    <x v="14"/>
    <x v="11"/>
    <n v="9"/>
  </r>
  <r>
    <x v="14"/>
    <x v="12"/>
    <n v="8"/>
  </r>
  <r>
    <x v="14"/>
    <x v="13"/>
    <n v="4"/>
  </r>
  <r>
    <x v="15"/>
    <x v="0"/>
    <n v="3"/>
  </r>
  <r>
    <x v="15"/>
    <x v="1"/>
    <n v="4"/>
  </r>
  <r>
    <x v="15"/>
    <x v="2"/>
    <n v="12"/>
  </r>
  <r>
    <x v="15"/>
    <x v="3"/>
    <n v="5"/>
  </r>
  <r>
    <x v="15"/>
    <x v="4"/>
    <n v="7"/>
  </r>
  <r>
    <x v="15"/>
    <x v="5"/>
    <n v="2"/>
  </r>
  <r>
    <x v="15"/>
    <x v="6"/>
    <n v="5"/>
  </r>
  <r>
    <x v="15"/>
    <x v="7"/>
    <n v="3"/>
  </r>
  <r>
    <x v="15"/>
    <x v="8"/>
    <n v="6"/>
  </r>
  <r>
    <x v="15"/>
    <x v="9"/>
    <n v="7"/>
  </r>
  <r>
    <x v="15"/>
    <x v="10"/>
    <n v="8"/>
  </r>
  <r>
    <x v="15"/>
    <x v="11"/>
    <n v="9"/>
  </r>
  <r>
    <x v="15"/>
    <x v="12"/>
    <n v="8"/>
  </r>
  <r>
    <x v="15"/>
    <x v="13"/>
    <n v="4"/>
  </r>
  <r>
    <x v="16"/>
    <x v="0"/>
    <n v="3"/>
  </r>
  <r>
    <x v="16"/>
    <x v="1"/>
    <n v="4"/>
  </r>
  <r>
    <x v="16"/>
    <x v="2"/>
    <n v="12"/>
  </r>
  <r>
    <x v="16"/>
    <x v="3"/>
    <n v="5"/>
  </r>
  <r>
    <x v="16"/>
    <x v="4"/>
    <n v="7"/>
  </r>
  <r>
    <x v="16"/>
    <x v="5"/>
    <n v="2"/>
  </r>
  <r>
    <x v="16"/>
    <x v="6"/>
    <n v="5"/>
  </r>
  <r>
    <x v="16"/>
    <x v="7"/>
    <n v="3"/>
  </r>
  <r>
    <x v="16"/>
    <x v="8"/>
    <n v="6"/>
  </r>
  <r>
    <x v="16"/>
    <x v="9"/>
    <n v="7"/>
  </r>
  <r>
    <x v="16"/>
    <x v="10"/>
    <n v="8"/>
  </r>
  <r>
    <x v="16"/>
    <x v="11"/>
    <n v="9"/>
  </r>
  <r>
    <x v="16"/>
    <x v="12"/>
    <n v="8"/>
  </r>
  <r>
    <x v="16"/>
    <x v="13"/>
    <n v="4"/>
  </r>
  <r>
    <x v="17"/>
    <x v="0"/>
    <n v="3"/>
  </r>
  <r>
    <x v="17"/>
    <x v="1"/>
    <n v="4"/>
  </r>
  <r>
    <x v="17"/>
    <x v="2"/>
    <n v="12"/>
  </r>
  <r>
    <x v="17"/>
    <x v="3"/>
    <n v="5"/>
  </r>
  <r>
    <x v="17"/>
    <x v="4"/>
    <n v="7"/>
  </r>
  <r>
    <x v="17"/>
    <x v="5"/>
    <n v="2"/>
  </r>
  <r>
    <x v="17"/>
    <x v="6"/>
    <n v="5"/>
  </r>
  <r>
    <x v="17"/>
    <x v="7"/>
    <n v="3"/>
  </r>
  <r>
    <x v="17"/>
    <x v="8"/>
    <n v="6"/>
  </r>
  <r>
    <x v="17"/>
    <x v="9"/>
    <n v="7"/>
  </r>
  <r>
    <x v="17"/>
    <x v="10"/>
    <n v="8"/>
  </r>
  <r>
    <x v="17"/>
    <x v="11"/>
    <n v="9"/>
  </r>
  <r>
    <x v="17"/>
    <x v="12"/>
    <n v="8"/>
  </r>
  <r>
    <x v="17"/>
    <x v="13"/>
    <n v="4"/>
  </r>
  <r>
    <x v="18"/>
    <x v="0"/>
    <n v="3"/>
  </r>
  <r>
    <x v="18"/>
    <x v="1"/>
    <n v="4"/>
  </r>
  <r>
    <x v="18"/>
    <x v="2"/>
    <n v="12"/>
  </r>
  <r>
    <x v="18"/>
    <x v="3"/>
    <n v="5"/>
  </r>
  <r>
    <x v="18"/>
    <x v="4"/>
    <n v="7"/>
  </r>
  <r>
    <x v="18"/>
    <x v="5"/>
    <n v="2"/>
  </r>
  <r>
    <x v="18"/>
    <x v="6"/>
    <n v="5"/>
  </r>
  <r>
    <x v="18"/>
    <x v="7"/>
    <n v="3"/>
  </r>
  <r>
    <x v="18"/>
    <x v="8"/>
    <n v="6"/>
  </r>
  <r>
    <x v="18"/>
    <x v="9"/>
    <n v="7"/>
  </r>
  <r>
    <x v="18"/>
    <x v="10"/>
    <n v="8"/>
  </r>
  <r>
    <x v="18"/>
    <x v="11"/>
    <n v="9"/>
  </r>
  <r>
    <x v="18"/>
    <x v="12"/>
    <n v="8"/>
  </r>
  <r>
    <x v="18"/>
    <x v="13"/>
    <n v="4"/>
  </r>
  <r>
    <x v="19"/>
    <x v="0"/>
    <n v="3"/>
  </r>
  <r>
    <x v="19"/>
    <x v="1"/>
    <n v="4"/>
  </r>
  <r>
    <x v="19"/>
    <x v="2"/>
    <n v="12"/>
  </r>
  <r>
    <x v="19"/>
    <x v="3"/>
    <n v="5"/>
  </r>
  <r>
    <x v="19"/>
    <x v="4"/>
    <n v="7"/>
  </r>
  <r>
    <x v="19"/>
    <x v="5"/>
    <n v="2"/>
  </r>
  <r>
    <x v="19"/>
    <x v="6"/>
    <n v="5"/>
  </r>
  <r>
    <x v="19"/>
    <x v="7"/>
    <n v="3"/>
  </r>
  <r>
    <x v="19"/>
    <x v="8"/>
    <n v="6"/>
  </r>
  <r>
    <x v="19"/>
    <x v="9"/>
    <n v="7"/>
  </r>
  <r>
    <x v="19"/>
    <x v="10"/>
    <n v="8"/>
  </r>
  <r>
    <x v="19"/>
    <x v="11"/>
    <n v="9"/>
  </r>
  <r>
    <x v="19"/>
    <x v="12"/>
    <n v="8"/>
  </r>
  <r>
    <x v="19"/>
    <x v="13"/>
    <n v="4"/>
  </r>
  <r>
    <x v="20"/>
    <x v="0"/>
    <n v="3"/>
  </r>
  <r>
    <x v="20"/>
    <x v="1"/>
    <n v="4"/>
  </r>
  <r>
    <x v="20"/>
    <x v="2"/>
    <n v="12"/>
  </r>
  <r>
    <x v="20"/>
    <x v="3"/>
    <n v="5"/>
  </r>
  <r>
    <x v="20"/>
    <x v="4"/>
    <n v="7"/>
  </r>
  <r>
    <x v="20"/>
    <x v="5"/>
    <n v="2"/>
  </r>
  <r>
    <x v="20"/>
    <x v="6"/>
    <n v="5"/>
  </r>
  <r>
    <x v="20"/>
    <x v="7"/>
    <n v="3"/>
  </r>
  <r>
    <x v="20"/>
    <x v="8"/>
    <n v="6"/>
  </r>
  <r>
    <x v="20"/>
    <x v="9"/>
    <n v="7"/>
  </r>
  <r>
    <x v="20"/>
    <x v="10"/>
    <n v="8"/>
  </r>
  <r>
    <x v="20"/>
    <x v="11"/>
    <n v="9"/>
  </r>
  <r>
    <x v="20"/>
    <x v="12"/>
    <n v="8"/>
  </r>
  <r>
    <x v="20"/>
    <x v="13"/>
    <n v="4"/>
  </r>
  <r>
    <x v="21"/>
    <x v="0"/>
    <n v="3"/>
  </r>
  <r>
    <x v="21"/>
    <x v="1"/>
    <n v="4"/>
  </r>
  <r>
    <x v="21"/>
    <x v="2"/>
    <n v="12"/>
  </r>
  <r>
    <x v="21"/>
    <x v="3"/>
    <n v="5"/>
  </r>
  <r>
    <x v="21"/>
    <x v="4"/>
    <n v="7"/>
  </r>
  <r>
    <x v="21"/>
    <x v="5"/>
    <n v="2"/>
  </r>
  <r>
    <x v="21"/>
    <x v="6"/>
    <n v="5"/>
  </r>
  <r>
    <x v="21"/>
    <x v="7"/>
    <n v="3"/>
  </r>
  <r>
    <x v="21"/>
    <x v="8"/>
    <n v="6"/>
  </r>
  <r>
    <x v="21"/>
    <x v="9"/>
    <n v="7"/>
  </r>
  <r>
    <x v="21"/>
    <x v="10"/>
    <n v="8"/>
  </r>
  <r>
    <x v="21"/>
    <x v="11"/>
    <n v="9"/>
  </r>
  <r>
    <x v="21"/>
    <x v="12"/>
    <n v="8"/>
  </r>
  <r>
    <x v="21"/>
    <x v="13"/>
    <n v="4"/>
  </r>
  <r>
    <x v="22"/>
    <x v="0"/>
    <n v="3"/>
  </r>
  <r>
    <x v="22"/>
    <x v="1"/>
    <n v="4"/>
  </r>
  <r>
    <x v="22"/>
    <x v="2"/>
    <n v="12"/>
  </r>
  <r>
    <x v="22"/>
    <x v="3"/>
    <n v="5"/>
  </r>
  <r>
    <x v="22"/>
    <x v="4"/>
    <n v="7"/>
  </r>
  <r>
    <x v="22"/>
    <x v="5"/>
    <n v="2"/>
  </r>
  <r>
    <x v="22"/>
    <x v="6"/>
    <n v="5"/>
  </r>
  <r>
    <x v="22"/>
    <x v="7"/>
    <n v="3"/>
  </r>
  <r>
    <x v="22"/>
    <x v="8"/>
    <n v="6"/>
  </r>
  <r>
    <x v="22"/>
    <x v="9"/>
    <n v="7"/>
  </r>
  <r>
    <x v="22"/>
    <x v="10"/>
    <n v="8"/>
  </r>
  <r>
    <x v="22"/>
    <x v="11"/>
    <n v="9"/>
  </r>
  <r>
    <x v="22"/>
    <x v="12"/>
    <n v="8"/>
  </r>
  <r>
    <x v="22"/>
    <x v="13"/>
    <n v="4"/>
  </r>
  <r>
    <x v="23"/>
    <x v="0"/>
    <n v="3"/>
  </r>
  <r>
    <x v="23"/>
    <x v="1"/>
    <n v="4"/>
  </r>
  <r>
    <x v="23"/>
    <x v="2"/>
    <n v="12"/>
  </r>
  <r>
    <x v="23"/>
    <x v="3"/>
    <n v="5"/>
  </r>
  <r>
    <x v="23"/>
    <x v="4"/>
    <n v="7"/>
  </r>
  <r>
    <x v="23"/>
    <x v="5"/>
    <n v="2"/>
  </r>
  <r>
    <x v="23"/>
    <x v="6"/>
    <n v="5"/>
  </r>
  <r>
    <x v="23"/>
    <x v="7"/>
    <n v="3"/>
  </r>
  <r>
    <x v="23"/>
    <x v="8"/>
    <n v="6"/>
  </r>
  <r>
    <x v="23"/>
    <x v="9"/>
    <n v="7"/>
  </r>
  <r>
    <x v="23"/>
    <x v="10"/>
    <n v="8"/>
  </r>
  <r>
    <x v="23"/>
    <x v="11"/>
    <n v="9"/>
  </r>
  <r>
    <x v="23"/>
    <x v="12"/>
    <n v="8"/>
  </r>
  <r>
    <x v="23"/>
    <x v="13"/>
    <n v="4"/>
  </r>
  <r>
    <x v="24"/>
    <x v="0"/>
    <n v="3"/>
  </r>
  <r>
    <x v="24"/>
    <x v="1"/>
    <n v="4"/>
  </r>
  <r>
    <x v="24"/>
    <x v="2"/>
    <n v="12"/>
  </r>
  <r>
    <x v="24"/>
    <x v="3"/>
    <n v="5"/>
  </r>
  <r>
    <x v="24"/>
    <x v="4"/>
    <n v="7"/>
  </r>
  <r>
    <x v="24"/>
    <x v="5"/>
    <n v="2"/>
  </r>
  <r>
    <x v="24"/>
    <x v="6"/>
    <n v="5"/>
  </r>
  <r>
    <x v="24"/>
    <x v="7"/>
    <n v="3"/>
  </r>
  <r>
    <x v="24"/>
    <x v="8"/>
    <n v="6"/>
  </r>
  <r>
    <x v="24"/>
    <x v="9"/>
    <n v="7"/>
  </r>
  <r>
    <x v="24"/>
    <x v="10"/>
    <n v="8"/>
  </r>
  <r>
    <x v="24"/>
    <x v="11"/>
    <n v="9"/>
  </r>
  <r>
    <x v="24"/>
    <x v="12"/>
    <n v="8"/>
  </r>
  <r>
    <x v="24"/>
    <x v="13"/>
    <n v="4"/>
  </r>
  <r>
    <x v="25"/>
    <x v="0"/>
    <n v="3"/>
  </r>
  <r>
    <x v="25"/>
    <x v="1"/>
    <n v="4"/>
  </r>
  <r>
    <x v="25"/>
    <x v="2"/>
    <n v="12"/>
  </r>
  <r>
    <x v="25"/>
    <x v="3"/>
    <n v="5"/>
  </r>
  <r>
    <x v="25"/>
    <x v="4"/>
    <n v="7"/>
  </r>
  <r>
    <x v="25"/>
    <x v="5"/>
    <n v="2"/>
  </r>
  <r>
    <x v="25"/>
    <x v="6"/>
    <n v="5"/>
  </r>
  <r>
    <x v="25"/>
    <x v="7"/>
    <n v="3"/>
  </r>
  <r>
    <x v="25"/>
    <x v="8"/>
    <n v="6"/>
  </r>
  <r>
    <x v="25"/>
    <x v="9"/>
    <n v="7"/>
  </r>
  <r>
    <x v="25"/>
    <x v="10"/>
    <n v="8"/>
  </r>
  <r>
    <x v="25"/>
    <x v="11"/>
    <n v="9"/>
  </r>
  <r>
    <x v="25"/>
    <x v="12"/>
    <n v="8"/>
  </r>
  <r>
    <x v="25"/>
    <x v="13"/>
    <n v="4"/>
  </r>
  <r>
    <x v="26"/>
    <x v="0"/>
    <n v="3"/>
  </r>
  <r>
    <x v="26"/>
    <x v="1"/>
    <n v="4"/>
  </r>
  <r>
    <x v="26"/>
    <x v="2"/>
    <n v="12"/>
  </r>
  <r>
    <x v="26"/>
    <x v="3"/>
    <n v="5"/>
  </r>
  <r>
    <x v="26"/>
    <x v="4"/>
    <n v="7"/>
  </r>
  <r>
    <x v="26"/>
    <x v="5"/>
    <n v="2"/>
  </r>
  <r>
    <x v="26"/>
    <x v="6"/>
    <n v="5"/>
  </r>
  <r>
    <x v="26"/>
    <x v="7"/>
    <n v="3"/>
  </r>
  <r>
    <x v="26"/>
    <x v="8"/>
    <n v="6"/>
  </r>
  <r>
    <x v="26"/>
    <x v="9"/>
    <n v="7"/>
  </r>
  <r>
    <x v="26"/>
    <x v="10"/>
    <n v="8"/>
  </r>
  <r>
    <x v="26"/>
    <x v="11"/>
    <n v="9"/>
  </r>
  <r>
    <x v="26"/>
    <x v="12"/>
    <n v="8"/>
  </r>
  <r>
    <x v="26"/>
    <x v="13"/>
    <n v="4"/>
  </r>
  <r>
    <x v="27"/>
    <x v="0"/>
    <n v="3"/>
  </r>
  <r>
    <x v="27"/>
    <x v="1"/>
    <n v="4"/>
  </r>
  <r>
    <x v="27"/>
    <x v="2"/>
    <n v="12"/>
  </r>
  <r>
    <x v="27"/>
    <x v="3"/>
    <n v="5"/>
  </r>
  <r>
    <x v="27"/>
    <x v="4"/>
    <n v="7"/>
  </r>
  <r>
    <x v="27"/>
    <x v="5"/>
    <n v="2"/>
  </r>
  <r>
    <x v="27"/>
    <x v="6"/>
    <n v="5"/>
  </r>
  <r>
    <x v="27"/>
    <x v="7"/>
    <n v="3"/>
  </r>
  <r>
    <x v="27"/>
    <x v="8"/>
    <n v="6"/>
  </r>
  <r>
    <x v="27"/>
    <x v="9"/>
    <n v="7"/>
  </r>
  <r>
    <x v="27"/>
    <x v="10"/>
    <n v="8"/>
  </r>
  <r>
    <x v="27"/>
    <x v="11"/>
    <n v="9"/>
  </r>
  <r>
    <x v="27"/>
    <x v="12"/>
    <n v="8"/>
  </r>
  <r>
    <x v="27"/>
    <x v="13"/>
    <n v="4"/>
  </r>
  <r>
    <x v="28"/>
    <x v="0"/>
    <n v="3"/>
  </r>
  <r>
    <x v="28"/>
    <x v="1"/>
    <n v="4"/>
  </r>
  <r>
    <x v="28"/>
    <x v="2"/>
    <n v="12"/>
  </r>
  <r>
    <x v="28"/>
    <x v="3"/>
    <n v="5"/>
  </r>
  <r>
    <x v="28"/>
    <x v="4"/>
    <n v="7"/>
  </r>
  <r>
    <x v="28"/>
    <x v="5"/>
    <n v="2"/>
  </r>
  <r>
    <x v="28"/>
    <x v="6"/>
    <n v="5"/>
  </r>
  <r>
    <x v="28"/>
    <x v="7"/>
    <n v="3"/>
  </r>
  <r>
    <x v="28"/>
    <x v="8"/>
    <n v="6"/>
  </r>
  <r>
    <x v="28"/>
    <x v="9"/>
    <n v="7"/>
  </r>
  <r>
    <x v="28"/>
    <x v="10"/>
    <n v="8"/>
  </r>
  <r>
    <x v="28"/>
    <x v="11"/>
    <n v="9"/>
  </r>
  <r>
    <x v="28"/>
    <x v="12"/>
    <n v="8"/>
  </r>
  <r>
    <x v="28"/>
    <x v="13"/>
    <n v="4"/>
  </r>
  <r>
    <x v="29"/>
    <x v="0"/>
    <n v="3"/>
  </r>
  <r>
    <x v="29"/>
    <x v="1"/>
    <n v="4"/>
  </r>
  <r>
    <x v="29"/>
    <x v="2"/>
    <n v="12"/>
  </r>
  <r>
    <x v="29"/>
    <x v="3"/>
    <n v="5"/>
  </r>
  <r>
    <x v="29"/>
    <x v="4"/>
    <n v="7"/>
  </r>
  <r>
    <x v="29"/>
    <x v="5"/>
    <n v="2"/>
  </r>
  <r>
    <x v="29"/>
    <x v="6"/>
    <n v="5"/>
  </r>
  <r>
    <x v="29"/>
    <x v="7"/>
    <n v="3"/>
  </r>
  <r>
    <x v="29"/>
    <x v="8"/>
    <n v="6"/>
  </r>
  <r>
    <x v="29"/>
    <x v="9"/>
    <n v="7"/>
  </r>
  <r>
    <x v="29"/>
    <x v="10"/>
    <n v="8"/>
  </r>
  <r>
    <x v="29"/>
    <x v="11"/>
    <n v="9"/>
  </r>
  <r>
    <x v="29"/>
    <x v="12"/>
    <n v="8"/>
  </r>
  <r>
    <x v="29"/>
    <x v="13"/>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n v="232000"/>
  </r>
  <r>
    <x v="0"/>
    <x v="1"/>
    <n v="233000"/>
  </r>
  <r>
    <x v="0"/>
    <x v="2"/>
    <n v="233423"/>
  </r>
  <r>
    <x v="0"/>
    <x v="3"/>
    <n v="236781"/>
  </r>
  <r>
    <x v="0"/>
    <x v="4"/>
    <n v="240543"/>
  </r>
  <r>
    <x v="0"/>
    <x v="5"/>
    <n v="238000"/>
  </r>
  <r>
    <x v="0"/>
    <x v="6"/>
    <n v="241300"/>
  </r>
  <r>
    <x v="0"/>
    <x v="7"/>
    <n v="242000"/>
  </r>
  <r>
    <x v="0"/>
    <x v="8"/>
    <n v="242222"/>
  </r>
  <r>
    <x v="0"/>
    <x v="9"/>
    <n v="245654"/>
  </r>
  <r>
    <x v="0"/>
    <x v="10"/>
    <n v="246578"/>
  </r>
  <r>
    <x v="0"/>
    <x v="11"/>
    <n v="247600"/>
  </r>
  <r>
    <x v="0"/>
    <x v="12"/>
    <n v="247800"/>
  </r>
  <r>
    <x v="0"/>
    <x v="13"/>
    <n v="246987"/>
  </r>
  <r>
    <x v="1"/>
    <x v="0"/>
    <n v="4366000"/>
  </r>
  <r>
    <x v="1"/>
    <x v="1"/>
    <n v="6200000"/>
  </r>
  <r>
    <x v="1"/>
    <x v="2"/>
    <n v="9400000"/>
  </r>
  <r>
    <x v="1"/>
    <x v="3"/>
    <n v="9000000"/>
  </r>
  <r>
    <x v="1"/>
    <x v="4"/>
    <n v="7500000"/>
  </r>
  <r>
    <x v="1"/>
    <x v="5"/>
    <n v="3700000"/>
  </r>
  <r>
    <x v="1"/>
    <x v="6"/>
    <n v="4400000"/>
  </r>
  <r>
    <x v="1"/>
    <x v="7"/>
    <n v="3900000"/>
  </r>
  <r>
    <x v="1"/>
    <x v="8"/>
    <n v="9800000"/>
  </r>
  <r>
    <x v="1"/>
    <x v="9"/>
    <n v="458000"/>
  </r>
  <r>
    <x v="1"/>
    <x v="10"/>
    <n v="435670"/>
  </r>
  <r>
    <x v="1"/>
    <x v="11"/>
    <n v="567000"/>
  </r>
  <r>
    <x v="1"/>
    <x v="12"/>
    <n v="545897"/>
  </r>
  <r>
    <x v="1"/>
    <x v="13"/>
    <n v="432567"/>
  </r>
  <r>
    <x v="2"/>
    <x v="0"/>
    <n v="0"/>
  </r>
  <r>
    <x v="2"/>
    <x v="1"/>
    <n v="0"/>
  </r>
  <r>
    <x v="2"/>
    <x v="2"/>
    <n v="0"/>
  </r>
  <r>
    <x v="2"/>
    <x v="3"/>
    <n v="0"/>
  </r>
  <r>
    <x v="2"/>
    <x v="4"/>
    <n v="0"/>
  </r>
  <r>
    <x v="2"/>
    <x v="5"/>
    <n v="0"/>
  </r>
  <r>
    <x v="2"/>
    <x v="6"/>
    <n v="0"/>
  </r>
  <r>
    <x v="2"/>
    <x v="7"/>
    <n v="0"/>
  </r>
  <r>
    <x v="2"/>
    <x v="8"/>
    <n v="0"/>
  </r>
  <r>
    <x v="2"/>
    <x v="9"/>
    <n v="0"/>
  </r>
  <r>
    <x v="2"/>
    <x v="10"/>
    <n v="0"/>
  </r>
  <r>
    <x v="2"/>
    <x v="11"/>
    <n v="0"/>
  </r>
  <r>
    <x v="2"/>
    <x v="12"/>
    <n v="0"/>
  </r>
  <r>
    <x v="2"/>
    <x v="13"/>
    <n v="0"/>
  </r>
  <r>
    <x v="3"/>
    <x v="0"/>
    <n v="136000"/>
  </r>
  <r>
    <x v="3"/>
    <x v="1"/>
    <n v="357000"/>
  </r>
  <r>
    <x v="3"/>
    <x v="2"/>
    <n v="422500"/>
  </r>
  <r>
    <x v="3"/>
    <x v="3"/>
    <n v="377700"/>
  </r>
  <r>
    <x v="3"/>
    <x v="4"/>
    <n v="313000"/>
  </r>
  <r>
    <x v="3"/>
    <x v="5"/>
    <n v="134000"/>
  </r>
  <r>
    <x v="3"/>
    <x v="6"/>
    <n v="189700"/>
  </r>
  <r>
    <x v="3"/>
    <x v="7"/>
    <n v="183400"/>
  </r>
  <r>
    <x v="3"/>
    <x v="8"/>
    <n v="386154"/>
  </r>
  <r>
    <x v="3"/>
    <x v="9"/>
    <n v="432111"/>
  </r>
  <r>
    <x v="3"/>
    <x v="10"/>
    <n v="422111"/>
  </r>
  <r>
    <x v="3"/>
    <x v="11"/>
    <n v="234555"/>
  </r>
  <r>
    <x v="3"/>
    <x v="12"/>
    <n v="324123"/>
  </r>
  <r>
    <x v="3"/>
    <x v="13"/>
    <n v="345666"/>
  </r>
  <r>
    <x v="4"/>
    <x v="0"/>
    <n v="29800"/>
  </r>
  <r>
    <x v="4"/>
    <x v="1"/>
    <n v="89200"/>
  </r>
  <r>
    <x v="4"/>
    <x v="2"/>
    <n v="100600"/>
  </r>
  <r>
    <x v="4"/>
    <x v="3"/>
    <n v="71900"/>
  </r>
  <r>
    <x v="4"/>
    <x v="4"/>
    <n v="68100"/>
  </r>
  <r>
    <x v="4"/>
    <x v="5"/>
    <n v="34300"/>
  </r>
  <r>
    <x v="4"/>
    <x v="6"/>
    <n v="38900"/>
  </r>
  <r>
    <x v="4"/>
    <x v="7"/>
    <n v="33900"/>
  </r>
  <r>
    <x v="4"/>
    <x v="8"/>
    <n v="69040"/>
  </r>
  <r>
    <x v="4"/>
    <x v="9"/>
    <n v="70123"/>
  </r>
  <r>
    <x v="4"/>
    <x v="10"/>
    <n v="67888"/>
  </r>
  <r>
    <x v="4"/>
    <x v="11"/>
    <n v="65768"/>
  </r>
  <r>
    <x v="4"/>
    <x v="12"/>
    <n v="64555"/>
  </r>
  <r>
    <x v="4"/>
    <x v="13"/>
    <n v="55432"/>
  </r>
  <r>
    <x v="5"/>
    <x v="0"/>
    <n v="1340"/>
  </r>
  <r>
    <x v="5"/>
    <x v="1"/>
    <n v="2400"/>
  </r>
  <r>
    <x v="5"/>
    <x v="2"/>
    <n v="3300"/>
  </r>
  <r>
    <x v="5"/>
    <x v="3"/>
    <n v="3900"/>
  </r>
  <r>
    <x v="5"/>
    <x v="4"/>
    <n v="4700"/>
  </r>
  <r>
    <x v="5"/>
    <x v="5"/>
    <n v="3800"/>
  </r>
  <r>
    <x v="5"/>
    <x v="6"/>
    <n v="3200"/>
  </r>
  <r>
    <x v="5"/>
    <x v="7"/>
    <n v="3900"/>
  </r>
  <r>
    <x v="5"/>
    <x v="8"/>
    <n v="6400"/>
  </r>
  <r>
    <x v="5"/>
    <x v="9"/>
    <n v="7544"/>
  </r>
  <r>
    <x v="5"/>
    <x v="10"/>
    <n v="7200"/>
  </r>
  <r>
    <x v="5"/>
    <x v="11"/>
    <n v="6500"/>
  </r>
  <r>
    <x v="5"/>
    <x v="12"/>
    <n v="5600"/>
  </r>
  <r>
    <x v="5"/>
    <x v="13"/>
    <n v="7234"/>
  </r>
  <r>
    <x v="6"/>
    <x v="0"/>
    <n v="14270"/>
  </r>
  <r>
    <x v="6"/>
    <x v="1"/>
    <n v="27400"/>
  </r>
  <r>
    <x v="6"/>
    <x v="2"/>
    <n v="52300"/>
  </r>
  <r>
    <x v="6"/>
    <x v="3"/>
    <n v="57600"/>
  </r>
  <r>
    <x v="6"/>
    <x v="4"/>
    <n v="37600"/>
  </r>
  <r>
    <x v="6"/>
    <x v="5"/>
    <n v="10800"/>
  </r>
  <r>
    <x v="6"/>
    <x v="6"/>
    <n v="22500"/>
  </r>
  <r>
    <x v="6"/>
    <x v="7"/>
    <n v="26300"/>
  </r>
  <r>
    <x v="6"/>
    <x v="8"/>
    <n v="49065"/>
  </r>
  <r>
    <x v="6"/>
    <x v="9"/>
    <n v="51890"/>
  </r>
  <r>
    <x v="6"/>
    <x v="10"/>
    <n v="43444"/>
  </r>
  <r>
    <x v="6"/>
    <x v="11"/>
    <n v="47089"/>
  </r>
  <r>
    <x v="6"/>
    <x v="12"/>
    <n v="51234"/>
  </r>
  <r>
    <x v="6"/>
    <x v="13"/>
    <n v="32000"/>
  </r>
  <r>
    <x v="7"/>
    <x v="0"/>
    <n v="899"/>
  </r>
  <r>
    <x v="7"/>
    <x v="1"/>
    <n v="1700"/>
  </r>
  <r>
    <x v="7"/>
    <x v="2"/>
    <n v="2300"/>
  </r>
  <r>
    <x v="7"/>
    <x v="3"/>
    <n v="3100"/>
  </r>
  <r>
    <x v="7"/>
    <x v="4"/>
    <n v="2400"/>
  </r>
  <r>
    <x v="7"/>
    <x v="5"/>
    <n v="992"/>
  </r>
  <r>
    <x v="7"/>
    <x v="6"/>
    <n v="1400"/>
  </r>
  <r>
    <x v="7"/>
    <x v="7"/>
    <n v="1300"/>
  </r>
  <r>
    <x v="7"/>
    <x v="8"/>
    <n v="3466"/>
  </r>
  <r>
    <x v="7"/>
    <x v="9"/>
    <n v="2456"/>
  </r>
  <r>
    <x v="7"/>
    <x v="10"/>
    <n v="1234"/>
  </r>
  <r>
    <x v="7"/>
    <x v="11"/>
    <n v="4321"/>
  </r>
  <r>
    <x v="7"/>
    <x v="12"/>
    <n v="2341"/>
  </r>
  <r>
    <x v="7"/>
    <x v="13"/>
    <n v="3421"/>
  </r>
  <r>
    <x v="8"/>
    <x v="0"/>
    <n v="456"/>
  </r>
  <r>
    <x v="8"/>
    <x v="1"/>
    <n v="817"/>
  </r>
  <r>
    <x v="8"/>
    <x v="2"/>
    <n v="1100"/>
  </r>
  <r>
    <x v="8"/>
    <x v="3"/>
    <n v="859"/>
  </r>
  <r>
    <x v="8"/>
    <x v="4"/>
    <n v="731"/>
  </r>
  <r>
    <x v="8"/>
    <x v="5"/>
    <n v="394"/>
  </r>
  <r>
    <x v="8"/>
    <x v="6"/>
    <n v="446"/>
  </r>
  <r>
    <x v="8"/>
    <x v="7"/>
    <n v="527"/>
  </r>
  <r>
    <x v="8"/>
    <x v="8"/>
    <n v="1240"/>
  </r>
  <r>
    <x v="8"/>
    <x v="9"/>
    <n v="980"/>
  </r>
  <r>
    <x v="8"/>
    <x v="10"/>
    <n v="970"/>
  </r>
  <r>
    <x v="8"/>
    <x v="11"/>
    <n v="567"/>
  </r>
  <r>
    <x v="8"/>
    <x v="12"/>
    <n v="657"/>
  </r>
  <r>
    <x v="8"/>
    <x v="13"/>
    <n v="598"/>
  </r>
  <r>
    <x v="9"/>
    <x v="0"/>
    <n v="1034"/>
  </r>
  <r>
    <x v="9"/>
    <x v="1"/>
    <n v="1800"/>
  </r>
  <r>
    <x v="9"/>
    <x v="2"/>
    <n v="1900"/>
  </r>
  <r>
    <x v="9"/>
    <x v="3"/>
    <n v="1300"/>
  </r>
  <r>
    <x v="9"/>
    <x v="4"/>
    <n v="1200"/>
  </r>
  <r>
    <x v="9"/>
    <x v="5"/>
    <n v="548"/>
  </r>
  <r>
    <x v="9"/>
    <x v="6"/>
    <n v="574"/>
  </r>
  <r>
    <x v="9"/>
    <x v="7"/>
    <n v="576"/>
  </r>
  <r>
    <x v="9"/>
    <x v="8"/>
    <n v="2242"/>
  </r>
  <r>
    <x v="9"/>
    <x v="9"/>
    <n v="768"/>
  </r>
  <r>
    <x v="9"/>
    <x v="10"/>
    <n v="1022"/>
  </r>
  <r>
    <x v="9"/>
    <x v="11"/>
    <n v="456"/>
  </r>
  <r>
    <x v="9"/>
    <x v="12"/>
    <n v="678"/>
  </r>
  <r>
    <x v="9"/>
    <x v="13"/>
    <n v="777"/>
  </r>
  <r>
    <x v="10"/>
    <x v="0"/>
    <n v="342600"/>
  </r>
  <r>
    <x v="10"/>
    <x v="1"/>
    <n v="493400"/>
  </r>
  <r>
    <x v="10"/>
    <x v="2"/>
    <n v="698800"/>
  </r>
  <r>
    <x v="10"/>
    <x v="3"/>
    <n v="613900"/>
  </r>
  <r>
    <x v="10"/>
    <x v="4"/>
    <n v="322100"/>
  </r>
  <r>
    <x v="10"/>
    <x v="5"/>
    <n v="233500"/>
  </r>
  <r>
    <x v="10"/>
    <x v="6"/>
    <n v="207700"/>
  </r>
  <r>
    <x v="10"/>
    <x v="7"/>
    <n v="185800"/>
  </r>
  <r>
    <x v="10"/>
    <x v="8"/>
    <n v="464100"/>
  </r>
  <r>
    <x v="10"/>
    <x v="9"/>
    <n v="450000"/>
  </r>
  <r>
    <x v="10"/>
    <x v="10"/>
    <n v="465789"/>
  </r>
  <r>
    <x v="10"/>
    <x v="11"/>
    <n v="657000"/>
  </r>
  <r>
    <x v="10"/>
    <x v="12"/>
    <n v="451232"/>
  </r>
  <r>
    <x v="10"/>
    <x v="13"/>
    <n v="442789"/>
  </r>
  <r>
    <x v="11"/>
    <x v="0"/>
    <n v="35211"/>
  </r>
  <r>
    <x v="11"/>
    <x v="1"/>
    <n v="1000000"/>
  </r>
  <r>
    <x v="11"/>
    <x v="2"/>
    <n v="1400000"/>
  </r>
  <r>
    <x v="11"/>
    <x v="3"/>
    <n v="454000"/>
  </r>
  <r>
    <x v="11"/>
    <x v="4"/>
    <n v="237000"/>
  </r>
  <r>
    <x v="11"/>
    <x v="5"/>
    <n v="48000"/>
  </r>
  <r>
    <x v="11"/>
    <x v="6"/>
    <n v="241000"/>
  </r>
  <r>
    <x v="11"/>
    <x v="7"/>
    <n v="486000"/>
  </r>
  <r>
    <x v="11"/>
    <x v="8"/>
    <n v="689000"/>
  </r>
  <r>
    <x v="11"/>
    <x v="9"/>
    <n v="700100"/>
  </r>
  <r>
    <x v="11"/>
    <x v="10"/>
    <n v="771222"/>
  </r>
  <r>
    <x v="11"/>
    <x v="11"/>
    <n v="675688"/>
  </r>
  <r>
    <x v="11"/>
    <x v="12"/>
    <n v="564355"/>
  </r>
  <r>
    <x v="11"/>
    <x v="13"/>
    <n v="546788"/>
  </r>
  <r>
    <x v="12"/>
    <x v="0"/>
    <n v="3051"/>
  </r>
  <r>
    <x v="12"/>
    <x v="1"/>
    <n v="53000"/>
  </r>
  <r>
    <x v="12"/>
    <x v="2"/>
    <n v="76000"/>
  </r>
  <r>
    <x v="12"/>
    <x v="3"/>
    <n v="9500"/>
  </r>
  <r>
    <x v="12"/>
    <x v="4"/>
    <n v="6600"/>
  </r>
  <r>
    <x v="12"/>
    <x v="5"/>
    <n v="2129"/>
  </r>
  <r>
    <x v="12"/>
    <x v="6"/>
    <n v="6200"/>
  </r>
  <r>
    <x v="12"/>
    <x v="7"/>
    <n v="7800"/>
  </r>
  <r>
    <x v="12"/>
    <x v="8"/>
    <n v="14000"/>
  </r>
  <r>
    <x v="12"/>
    <x v="9"/>
    <n v="6766"/>
  </r>
  <r>
    <x v="12"/>
    <x v="10"/>
    <n v="7890"/>
  </r>
  <r>
    <x v="12"/>
    <x v="11"/>
    <n v="7689"/>
  </r>
  <r>
    <x v="12"/>
    <x v="12"/>
    <n v="5467"/>
  </r>
  <r>
    <x v="12"/>
    <x v="13"/>
    <n v="6578"/>
  </r>
  <r>
    <x v="13"/>
    <x v="0"/>
    <n v="1267"/>
  </r>
  <r>
    <x v="13"/>
    <x v="1"/>
    <n v="54000"/>
  </r>
  <r>
    <x v="13"/>
    <x v="2"/>
    <n v="75000"/>
  </r>
  <r>
    <x v="13"/>
    <x v="3"/>
    <n v="29000"/>
  </r>
  <r>
    <x v="13"/>
    <x v="4"/>
    <n v="19000"/>
  </r>
  <r>
    <x v="13"/>
    <x v="5"/>
    <n v="2248"/>
  </r>
  <r>
    <x v="13"/>
    <x v="6"/>
    <n v="20000"/>
  </r>
  <r>
    <x v="13"/>
    <x v="7"/>
    <n v="35000"/>
  </r>
  <r>
    <x v="13"/>
    <x v="8"/>
    <n v="52000"/>
  </r>
  <r>
    <x v="13"/>
    <x v="9"/>
    <n v="43555"/>
  </r>
  <r>
    <x v="13"/>
    <x v="10"/>
    <n v="54333"/>
  </r>
  <r>
    <x v="13"/>
    <x v="11"/>
    <n v="34222"/>
  </r>
  <r>
    <x v="13"/>
    <x v="12"/>
    <n v="23444"/>
  </r>
  <r>
    <x v="13"/>
    <x v="13"/>
    <n v="44566"/>
  </r>
  <r>
    <x v="14"/>
    <x v="0"/>
    <n v="158"/>
  </r>
  <r>
    <x v="14"/>
    <x v="1"/>
    <n v="1248"/>
  </r>
  <r>
    <x v="14"/>
    <x v="2"/>
    <n v="1400"/>
  </r>
  <r>
    <x v="14"/>
    <x v="3"/>
    <n v="524"/>
  </r>
  <r>
    <x v="14"/>
    <x v="4"/>
    <n v="321"/>
  </r>
  <r>
    <x v="14"/>
    <x v="5"/>
    <n v="65"/>
  </r>
  <r>
    <x v="14"/>
    <x v="6"/>
    <n v="333"/>
  </r>
  <r>
    <x v="14"/>
    <x v="7"/>
    <n v="378"/>
  </r>
  <r>
    <x v="14"/>
    <x v="8"/>
    <n v="784"/>
  </r>
  <r>
    <x v="14"/>
    <x v="9"/>
    <n v="768"/>
  </r>
  <r>
    <x v="14"/>
    <x v="10"/>
    <n v="657"/>
  </r>
  <r>
    <x v="14"/>
    <x v="11"/>
    <n v="678"/>
  </r>
  <r>
    <x v="14"/>
    <x v="12"/>
    <n v="645"/>
  </r>
  <r>
    <x v="14"/>
    <x v="13"/>
    <n v="578"/>
  </r>
  <r>
    <x v="15"/>
    <x v="0"/>
    <n v="36"/>
  </r>
  <r>
    <x v="15"/>
    <x v="1"/>
    <n v="1819"/>
  </r>
  <r>
    <x v="15"/>
    <x v="2"/>
    <n v="2000"/>
  </r>
  <r>
    <x v="15"/>
    <x v="3"/>
    <n v="1400"/>
  </r>
  <r>
    <x v="15"/>
    <x v="4"/>
    <n v="992"/>
  </r>
  <r>
    <x v="15"/>
    <x v="5"/>
    <n v="1312"/>
  </r>
  <r>
    <x v="15"/>
    <x v="6"/>
    <n v="708"/>
  </r>
  <r>
    <x v="15"/>
    <x v="7"/>
    <n v="882"/>
  </r>
  <r>
    <x v="15"/>
    <x v="8"/>
    <n v="2300"/>
  </r>
  <r>
    <x v="15"/>
    <x v="9"/>
    <n v="996"/>
  </r>
  <r>
    <x v="15"/>
    <x v="10"/>
    <n v="557"/>
  </r>
  <r>
    <x v="15"/>
    <x v="11"/>
    <n v="658"/>
  </r>
  <r>
    <x v="15"/>
    <x v="12"/>
    <n v="678"/>
  </r>
  <r>
    <x v="15"/>
    <x v="13"/>
    <n v="654"/>
  </r>
  <r>
    <x v="16"/>
    <x v="0"/>
    <n v="205000"/>
  </r>
  <r>
    <x v="16"/>
    <x v="1"/>
    <n v="43234"/>
  </r>
  <r>
    <x v="16"/>
    <x v="2"/>
    <n v="205000"/>
  </r>
  <r>
    <x v="16"/>
    <x v="3"/>
    <n v="45000"/>
  </r>
  <r>
    <x v="16"/>
    <x v="4"/>
    <n v="30000"/>
  </r>
  <r>
    <x v="16"/>
    <x v="5"/>
    <n v="1312"/>
  </r>
  <r>
    <x v="16"/>
    <x v="6"/>
    <n v="42000"/>
  </r>
  <r>
    <x v="16"/>
    <x v="7"/>
    <n v="184000"/>
  </r>
  <r>
    <x v="16"/>
    <x v="8"/>
    <n v="124000"/>
  </r>
  <r>
    <x v="16"/>
    <x v="9"/>
    <n v="88777"/>
  </r>
  <r>
    <x v="16"/>
    <x v="10"/>
    <n v="43565"/>
  </r>
  <r>
    <x v="16"/>
    <x v="11"/>
    <n v="34333"/>
  </r>
  <r>
    <x v="16"/>
    <x v="12"/>
    <n v="23454"/>
  </r>
  <r>
    <x v="16"/>
    <x v="13"/>
    <n v="45332"/>
  </r>
  <r>
    <x v="17"/>
    <x v="0"/>
    <n v="1100000"/>
  </r>
  <r>
    <x v="17"/>
    <x v="1"/>
    <n v="4600000"/>
  </r>
  <r>
    <x v="17"/>
    <x v="2"/>
    <n v="8100000"/>
  </r>
  <r>
    <x v="17"/>
    <x v="3"/>
    <n v="8600000"/>
  </r>
  <r>
    <x v="17"/>
    <x v="4"/>
    <n v="5820329"/>
  </r>
  <r>
    <x v="17"/>
    <x v="5"/>
    <n v="2300000"/>
  </r>
  <r>
    <x v="17"/>
    <x v="6"/>
    <n v="3100000"/>
  </r>
  <r>
    <x v="17"/>
    <x v="7"/>
    <n v="4100000"/>
  </r>
  <r>
    <x v="17"/>
    <x v="8"/>
    <n v="8400000"/>
  </r>
  <r>
    <x v="17"/>
    <x v="9"/>
    <n v="7800657"/>
  </r>
  <r>
    <x v="17"/>
    <x v="10"/>
    <n v="5675554"/>
  </r>
  <r>
    <x v="17"/>
    <x v="11"/>
    <n v="4321324"/>
  </r>
  <r>
    <x v="17"/>
    <x v="12"/>
    <n v="6541123"/>
  </r>
  <r>
    <x v="17"/>
    <x v="13"/>
    <n v="5987000"/>
  </r>
  <r>
    <x v="18"/>
    <x v="0"/>
    <n v="43000"/>
  </r>
  <r>
    <x v="18"/>
    <x v="1"/>
    <n v="116000"/>
  </r>
  <r>
    <x v="18"/>
    <x v="2"/>
    <n v="169948"/>
  </r>
  <r>
    <x v="18"/>
    <x v="3"/>
    <n v="208554"/>
  </r>
  <r>
    <x v="18"/>
    <x v="4"/>
    <n v="119170"/>
  </r>
  <r>
    <x v="18"/>
    <x v="5"/>
    <n v="30300"/>
  </r>
  <r>
    <x v="18"/>
    <x v="6"/>
    <n v="62500"/>
  </r>
  <r>
    <x v="18"/>
    <x v="7"/>
    <n v="82500"/>
  </r>
  <r>
    <x v="18"/>
    <x v="8"/>
    <n v="195900"/>
  </r>
  <r>
    <x v="18"/>
    <x v="9"/>
    <n v="77867"/>
  </r>
  <r>
    <x v="18"/>
    <x v="10"/>
    <n v="66576"/>
  </r>
  <r>
    <x v="18"/>
    <x v="11"/>
    <n v="66578"/>
  </r>
  <r>
    <x v="18"/>
    <x v="12"/>
    <n v="65788"/>
  </r>
  <r>
    <x v="18"/>
    <x v="13"/>
    <n v="43566"/>
  </r>
  <r>
    <x v="19"/>
    <x v="0"/>
    <n v="999"/>
  </r>
  <r>
    <x v="19"/>
    <x v="1"/>
    <n v="1700"/>
  </r>
  <r>
    <x v="19"/>
    <x v="2"/>
    <n v="1944"/>
  </r>
  <r>
    <x v="19"/>
    <x v="3"/>
    <n v="2305"/>
  </r>
  <r>
    <x v="19"/>
    <x v="4"/>
    <n v="1518"/>
  </r>
  <r>
    <x v="19"/>
    <x v="5"/>
    <n v="1043"/>
  </r>
  <r>
    <x v="19"/>
    <x v="6"/>
    <n v="1271"/>
  </r>
  <r>
    <x v="19"/>
    <x v="7"/>
    <n v="1400"/>
  </r>
  <r>
    <x v="19"/>
    <x v="8"/>
    <n v="2100"/>
  </r>
  <r>
    <x v="19"/>
    <x v="9"/>
    <n v="2122"/>
  </r>
  <r>
    <x v="19"/>
    <x v="10"/>
    <n v="1234"/>
  </r>
  <r>
    <x v="19"/>
    <x v="11"/>
    <n v="1222"/>
  </r>
  <r>
    <x v="19"/>
    <x v="12"/>
    <n v="987"/>
  </r>
  <r>
    <x v="19"/>
    <x v="13"/>
    <n v="1909"/>
  </r>
  <r>
    <x v="20"/>
    <x v="0"/>
    <n v="66756"/>
  </r>
  <r>
    <x v="20"/>
    <x v="1"/>
    <n v="55645"/>
  </r>
  <r>
    <x v="20"/>
    <x v="2"/>
    <n v="99437"/>
  </r>
  <r>
    <x v="20"/>
    <x v="3"/>
    <n v="109549"/>
  </r>
  <r>
    <x v="20"/>
    <x v="4"/>
    <n v="66193"/>
  </r>
  <r>
    <x v="20"/>
    <x v="5"/>
    <n v="41727"/>
  </r>
  <r>
    <x v="20"/>
    <x v="6"/>
    <n v="38035"/>
  </r>
  <r>
    <x v="20"/>
    <x v="7"/>
    <n v="41512"/>
  </r>
  <r>
    <x v="20"/>
    <x v="8"/>
    <n v="111661"/>
  </r>
  <r>
    <x v="20"/>
    <x v="9"/>
    <n v="100989"/>
  </r>
  <r>
    <x v="20"/>
    <x v="10"/>
    <n v="66543"/>
  </r>
  <r>
    <x v="20"/>
    <x v="11"/>
    <n v="87890"/>
  </r>
  <r>
    <x v="20"/>
    <x v="12"/>
    <n v="57666"/>
  </r>
  <r>
    <x v="20"/>
    <x v="13"/>
    <n v="54675"/>
  </r>
  <r>
    <x v="21"/>
    <x v="0"/>
    <n v="17600"/>
  </r>
  <r>
    <x v="21"/>
    <x v="1"/>
    <n v="32400"/>
  </r>
  <r>
    <x v="21"/>
    <x v="2"/>
    <n v="17000"/>
  </r>
  <r>
    <x v="21"/>
    <x v="3"/>
    <n v="22400"/>
  </r>
  <r>
    <x v="21"/>
    <x v="4"/>
    <n v="15600"/>
  </r>
  <r>
    <x v="21"/>
    <x v="5"/>
    <n v="5199"/>
  </r>
  <r>
    <x v="21"/>
    <x v="6"/>
    <n v="4745"/>
  </r>
  <r>
    <x v="21"/>
    <x v="7"/>
    <n v="5639"/>
  </r>
  <r>
    <x v="21"/>
    <x v="8"/>
    <n v="16500"/>
  </r>
  <r>
    <x v="21"/>
    <x v="9"/>
    <n v="4354"/>
  </r>
  <r>
    <x v="21"/>
    <x v="10"/>
    <n v="3243"/>
  </r>
  <r>
    <x v="21"/>
    <x v="11"/>
    <n v="3453"/>
  </r>
  <r>
    <x v="21"/>
    <x v="12"/>
    <n v="5555"/>
  </r>
  <r>
    <x v="21"/>
    <x v="13"/>
    <n v="4365"/>
  </r>
  <r>
    <x v="22"/>
    <x v="0"/>
    <n v="139"/>
  </r>
  <r>
    <x v="22"/>
    <x v="1"/>
    <n v="348"/>
  </r>
  <r>
    <x v="22"/>
    <x v="2"/>
    <n v="611"/>
  </r>
  <r>
    <x v="22"/>
    <x v="3"/>
    <n v="928"/>
  </r>
  <r>
    <x v="22"/>
    <x v="4"/>
    <n v="660"/>
  </r>
  <r>
    <x v="22"/>
    <x v="5"/>
    <n v="236"/>
  </r>
  <r>
    <x v="22"/>
    <x v="6"/>
    <n v="329"/>
  </r>
  <r>
    <x v="22"/>
    <x v="7"/>
    <n v="388"/>
  </r>
  <r>
    <x v="22"/>
    <x v="8"/>
    <n v="623"/>
  </r>
  <r>
    <x v="22"/>
    <x v="9"/>
    <n v="343"/>
  </r>
  <r>
    <x v="22"/>
    <x v="10"/>
    <n v="454"/>
  </r>
  <r>
    <x v="22"/>
    <x v="11"/>
    <n v="576"/>
  </r>
  <r>
    <x v="22"/>
    <x v="12"/>
    <n v="538"/>
  </r>
  <r>
    <x v="22"/>
    <x v="13"/>
    <n v="527"/>
  </r>
  <r>
    <x v="23"/>
    <x v="0"/>
    <n v="1070000"/>
  </r>
  <r>
    <x v="23"/>
    <x v="1"/>
    <n v="2700000"/>
  </r>
  <r>
    <x v="23"/>
    <x v="2"/>
    <n v="4400000"/>
  </r>
  <r>
    <x v="23"/>
    <x v="3"/>
    <n v="4300000"/>
  </r>
  <r>
    <x v="23"/>
    <x v="4"/>
    <n v="5000000"/>
  </r>
  <r>
    <x v="23"/>
    <x v="5"/>
    <n v="3200000"/>
  </r>
  <r>
    <x v="23"/>
    <x v="6"/>
    <n v="3600000"/>
  </r>
  <r>
    <x v="23"/>
    <x v="7"/>
    <n v="3500000"/>
  </r>
  <r>
    <x v="23"/>
    <x v="8"/>
    <n v="6700000"/>
  </r>
  <r>
    <x v="23"/>
    <x v="9"/>
    <n v="6545768"/>
  </r>
  <r>
    <x v="23"/>
    <x v="10"/>
    <n v="5454677"/>
  </r>
  <r>
    <x v="23"/>
    <x v="11"/>
    <n v="3232111"/>
  </r>
  <r>
    <x v="23"/>
    <x v="12"/>
    <n v="6500000"/>
  </r>
  <r>
    <x v="23"/>
    <x v="13"/>
    <n v="5444333"/>
  </r>
  <r>
    <x v="24"/>
    <x v="0"/>
    <n v="271200"/>
  </r>
  <r>
    <x v="24"/>
    <x v="1"/>
    <n v="286700"/>
  </r>
  <r>
    <x v="24"/>
    <x v="2"/>
    <n v="396200"/>
  </r>
  <r>
    <x v="24"/>
    <x v="3"/>
    <n v="341100"/>
  </r>
  <r>
    <x v="24"/>
    <x v="4"/>
    <n v="430000"/>
  </r>
  <r>
    <x v="24"/>
    <x v="5"/>
    <n v="257100"/>
  </r>
  <r>
    <x v="24"/>
    <x v="6"/>
    <n v="464400"/>
  </r>
  <r>
    <x v="24"/>
    <x v="7"/>
    <n v="382132"/>
  </r>
  <r>
    <x v="24"/>
    <x v="8"/>
    <n v="590262"/>
  </r>
  <r>
    <x v="24"/>
    <x v="9"/>
    <n v="324356"/>
  </r>
  <r>
    <x v="24"/>
    <x v="10"/>
    <n v="657444"/>
  </r>
  <r>
    <x v="24"/>
    <x v="11"/>
    <n v="456444"/>
  </r>
  <r>
    <x v="24"/>
    <x v="12"/>
    <n v="756444"/>
  </r>
  <r>
    <x v="24"/>
    <x v="13"/>
    <n v="546555"/>
  </r>
  <r>
    <x v="25"/>
    <x v="0"/>
    <n v="14400"/>
  </r>
  <r>
    <x v="25"/>
    <x v="1"/>
    <n v="27400"/>
  </r>
  <r>
    <x v="25"/>
    <x v="2"/>
    <n v="48600"/>
  </r>
  <r>
    <x v="25"/>
    <x v="3"/>
    <n v="58500"/>
  </r>
  <r>
    <x v="25"/>
    <x v="4"/>
    <n v="500000"/>
  </r>
  <r>
    <x v="25"/>
    <x v="5"/>
    <n v="20900"/>
  </r>
  <r>
    <x v="25"/>
    <x v="6"/>
    <n v="34000"/>
  </r>
  <r>
    <x v="25"/>
    <x v="7"/>
    <n v="34800"/>
  </r>
  <r>
    <x v="25"/>
    <x v="8"/>
    <n v="56100"/>
  </r>
  <r>
    <x v="25"/>
    <x v="9"/>
    <n v="44323"/>
  </r>
  <r>
    <x v="25"/>
    <x v="10"/>
    <n v="42345"/>
  </r>
  <r>
    <x v="25"/>
    <x v="11"/>
    <n v="53423"/>
  </r>
  <r>
    <x v="25"/>
    <x v="12"/>
    <n v="61234"/>
  </r>
  <r>
    <x v="25"/>
    <x v="13"/>
    <n v="49876"/>
  </r>
  <r>
    <x v="26"/>
    <x v="0"/>
    <n v="786"/>
  </r>
  <r>
    <x v="26"/>
    <x v="1"/>
    <n v="530"/>
  </r>
  <r>
    <x v="26"/>
    <x v="2"/>
    <n v="934"/>
  </r>
  <r>
    <x v="26"/>
    <x v="3"/>
    <n v="1100"/>
  </r>
  <r>
    <x v="26"/>
    <x v="4"/>
    <n v="957"/>
  </r>
  <r>
    <x v="26"/>
    <x v="5"/>
    <n v="604"/>
  </r>
  <r>
    <x v="26"/>
    <x v="6"/>
    <n v="699"/>
  </r>
  <r>
    <x v="26"/>
    <x v="7"/>
    <n v="750"/>
  </r>
  <r>
    <x v="26"/>
    <x v="8"/>
    <n v="1100"/>
  </r>
  <r>
    <x v="26"/>
    <x v="9"/>
    <n v="967"/>
  </r>
  <r>
    <x v="26"/>
    <x v="10"/>
    <n v="867"/>
  </r>
  <r>
    <x v="26"/>
    <x v="11"/>
    <n v="768"/>
  </r>
  <r>
    <x v="26"/>
    <x v="12"/>
    <n v="897"/>
  </r>
  <r>
    <x v="26"/>
    <x v="13"/>
    <n v="900"/>
  </r>
  <r>
    <x v="27"/>
    <x v="0"/>
    <n v="66576"/>
  </r>
  <r>
    <x v="27"/>
    <x v="1"/>
    <n v="54675"/>
  </r>
  <r>
    <x v="27"/>
    <x v="2"/>
    <n v="70894"/>
  </r>
  <r>
    <x v="27"/>
    <x v="3"/>
    <n v="67467"/>
  </r>
  <r>
    <x v="27"/>
    <x v="4"/>
    <n v="97665"/>
  </r>
  <r>
    <x v="27"/>
    <x v="5"/>
    <n v="84835"/>
  </r>
  <r>
    <x v="27"/>
    <x v="6"/>
    <n v="67792"/>
  </r>
  <r>
    <x v="27"/>
    <x v="7"/>
    <n v="39322"/>
  </r>
  <r>
    <x v="27"/>
    <x v="8"/>
    <n v="72381"/>
  </r>
  <r>
    <x v="27"/>
    <x v="9"/>
    <n v="55645"/>
  </r>
  <r>
    <x v="27"/>
    <x v="10"/>
    <n v="49867"/>
  </r>
  <r>
    <x v="27"/>
    <x v="11"/>
    <n v="63545"/>
  </r>
  <r>
    <x v="27"/>
    <x v="12"/>
    <n v="55768"/>
  </r>
  <r>
    <x v="27"/>
    <x v="13"/>
    <n v="57634"/>
  </r>
  <r>
    <x v="28"/>
    <x v="0"/>
    <n v="989"/>
  </r>
  <r>
    <x v="28"/>
    <x v="1"/>
    <n v="1111"/>
  </r>
  <r>
    <x v="28"/>
    <x v="2"/>
    <n v="1761"/>
  </r>
  <r>
    <x v="28"/>
    <x v="3"/>
    <n v="1565"/>
  </r>
  <r>
    <x v="28"/>
    <x v="4"/>
    <n v="2147"/>
  </r>
  <r>
    <x v="28"/>
    <x v="5"/>
    <n v="1115"/>
  </r>
  <r>
    <x v="28"/>
    <x v="6"/>
    <n v="1211"/>
  </r>
  <r>
    <x v="28"/>
    <x v="7"/>
    <n v="602"/>
  </r>
  <r>
    <x v="28"/>
    <x v="8"/>
    <n v="1340"/>
  </r>
  <r>
    <x v="28"/>
    <x v="9"/>
    <n v="4354"/>
  </r>
  <r>
    <x v="28"/>
    <x v="10"/>
    <n v="2321"/>
  </r>
  <r>
    <x v="28"/>
    <x v="11"/>
    <n v="1987"/>
  </r>
  <r>
    <x v="28"/>
    <x v="12"/>
    <n v="1232"/>
  </r>
  <r>
    <x v="28"/>
    <x v="13"/>
    <n v="890"/>
  </r>
  <r>
    <x v="29"/>
    <x v="0"/>
    <n v="55"/>
  </r>
  <r>
    <x v="29"/>
    <x v="1"/>
    <n v="66"/>
  </r>
  <r>
    <x v="29"/>
    <x v="2"/>
    <n v="76"/>
  </r>
  <r>
    <x v="29"/>
    <x v="3"/>
    <n v="53"/>
  </r>
  <r>
    <x v="29"/>
    <x v="4"/>
    <n v="69"/>
  </r>
  <r>
    <x v="29"/>
    <x v="5"/>
    <n v="33"/>
  </r>
  <r>
    <x v="29"/>
    <x v="6"/>
    <n v="73"/>
  </r>
  <r>
    <x v="29"/>
    <x v="7"/>
    <n v="9"/>
  </r>
  <r>
    <x v="29"/>
    <x v="8"/>
    <n v="48"/>
  </r>
  <r>
    <x v="29"/>
    <x v="9"/>
    <n v="23"/>
  </r>
  <r>
    <x v="29"/>
    <x v="10"/>
    <n v="45"/>
  </r>
  <r>
    <x v="29"/>
    <x v="11"/>
    <n v="32"/>
  </r>
  <r>
    <x v="29"/>
    <x v="12"/>
    <n v="32"/>
  </r>
  <r>
    <x v="29"/>
    <x v="13"/>
    <n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D12E8-EE4D-4B6A-BDEF-AE0088C0FD0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8" firstHeaderRow="1" firstDataRow="1" firstDataCol="1" rowPageCount="1" colPageCount="1"/>
  <pivotFields count="3">
    <pivotField axis="axisPage" showAll="0">
      <items count="31">
        <item x="25"/>
        <item x="26"/>
        <item x="24"/>
        <item x="23"/>
        <item x="18"/>
        <item x="19"/>
        <item x="20"/>
        <item x="17"/>
        <item x="29"/>
        <item x="27"/>
        <item x="28"/>
        <item x="22"/>
        <item x="21"/>
        <item x="14"/>
        <item x="13"/>
        <item x="16"/>
        <item x="15"/>
        <item x="11"/>
        <item x="12"/>
        <item x="8"/>
        <item x="2"/>
        <item x="3"/>
        <item x="0"/>
        <item x="1"/>
        <item x="6"/>
        <item x="4"/>
        <item x="5"/>
        <item x="7"/>
        <item x="9"/>
        <item x="10"/>
        <item t="default"/>
      </items>
    </pivotField>
    <pivotField axis="axisRow" showAll="0" defaultSubtotal="0">
      <items count="14">
        <item x="0"/>
        <item x="1"/>
        <item x="2"/>
        <item x="3"/>
        <item x="4"/>
        <item x="5"/>
        <item x="6"/>
        <item x="7"/>
        <item x="8"/>
        <item x="9"/>
        <item x="10"/>
        <item x="11"/>
        <item x="12"/>
        <item x="13"/>
      </items>
    </pivotField>
    <pivotField dataField="1" showAll="0"/>
  </pivotFields>
  <rowFields count="1">
    <field x="1"/>
  </rowFields>
  <rowItems count="15">
    <i>
      <x/>
    </i>
    <i>
      <x v="1"/>
    </i>
    <i>
      <x v="2"/>
    </i>
    <i>
      <x v="3"/>
    </i>
    <i>
      <x v="4"/>
    </i>
    <i>
      <x v="5"/>
    </i>
    <i>
      <x v="6"/>
    </i>
    <i>
      <x v="7"/>
    </i>
    <i>
      <x v="8"/>
    </i>
    <i>
      <x v="9"/>
    </i>
    <i>
      <x v="10"/>
    </i>
    <i>
      <x v="11"/>
    </i>
    <i>
      <x v="12"/>
    </i>
    <i>
      <x v="13"/>
    </i>
    <i t="grand">
      <x/>
    </i>
  </rowItems>
  <colItems count="1">
    <i/>
  </colItems>
  <pageFields count="1">
    <pageField fld="0" item="11" hier="-1"/>
  </pageFields>
  <dataFields count="1">
    <dataField name="Sum of Value" fld="2" baseField="1" baseItem="7"/>
  </dataFields>
  <formats count="12">
    <format dxfId="452">
      <pivotArea type="all" dataOnly="0" outline="0" fieldPosition="0"/>
    </format>
    <format dxfId="451">
      <pivotArea outline="0" collapsedLevelsAreSubtotals="1" fieldPosition="0"/>
    </format>
    <format dxfId="450">
      <pivotArea field="1" type="button" dataOnly="0" labelOnly="1" outline="0" axis="axisRow" fieldPosition="0"/>
    </format>
    <format dxfId="449">
      <pivotArea dataOnly="0" labelOnly="1" fieldPosition="0">
        <references count="1">
          <reference field="1" count="0"/>
        </references>
      </pivotArea>
    </format>
    <format dxfId="448">
      <pivotArea dataOnly="0" labelOnly="1" grandRow="1" outline="0" fieldPosition="0"/>
    </format>
    <format dxfId="447">
      <pivotArea dataOnly="0" labelOnly="1" outline="0" axis="axisValues" fieldPosition="0"/>
    </format>
    <format dxfId="446">
      <pivotArea type="all" dataOnly="0" outline="0" fieldPosition="0"/>
    </format>
    <format dxfId="445">
      <pivotArea outline="0" collapsedLevelsAreSubtotals="1" fieldPosition="0"/>
    </format>
    <format dxfId="444">
      <pivotArea field="1" type="button" dataOnly="0" labelOnly="1" outline="0" axis="axisRow" fieldPosition="0"/>
    </format>
    <format dxfId="443">
      <pivotArea dataOnly="0" labelOnly="1" fieldPosition="0">
        <references count="1">
          <reference field="1" count="0"/>
        </references>
      </pivotArea>
    </format>
    <format dxfId="442">
      <pivotArea dataOnly="0" labelOnly="1" grandRow="1" outline="0" fieldPosition="0"/>
    </format>
    <format dxfId="44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3"/>
          </reference>
        </references>
      </pivotArea>
    </chartFormat>
    <chartFormat chart="0" format="2" series="1">
      <pivotArea type="data" outline="0" fieldPosition="0">
        <references count="2">
          <reference field="4294967294" count="1" selected="0">
            <x v="0"/>
          </reference>
          <reference field="1" count="1" selected="0">
            <x v="7"/>
          </reference>
        </references>
      </pivotArea>
    </chartFormat>
    <chartFormat chart="0" format="3" series="1">
      <pivotArea type="data" outline="0" fieldPosition="0">
        <references count="2">
          <reference field="4294967294" count="1" selected="0">
            <x v="0"/>
          </reference>
          <reference field="1" count="1" selected="0">
            <x v="9"/>
          </reference>
        </references>
      </pivotArea>
    </chartFormat>
    <chartFormat chart="0" format="4" series="1">
      <pivotArea type="data" outline="0" fieldPosition="0">
        <references count="2">
          <reference field="4294967294" count="1" selected="0">
            <x v="0"/>
          </reference>
          <reference field="1" count="1" selected="0">
            <x v="8"/>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13"/>
          </reference>
        </references>
      </pivotArea>
    </chartFormat>
    <chartFormat chart="0" format="8" series="1">
      <pivotArea type="data" outline="0" fieldPosition="0">
        <references count="2">
          <reference field="4294967294" count="1" selected="0">
            <x v="0"/>
          </reference>
          <reference field="1" count="1" selected="0">
            <x v="10"/>
          </reference>
        </references>
      </pivotArea>
    </chartFormat>
    <chartFormat chart="0" format="9" series="1">
      <pivotArea type="data" outline="0" fieldPosition="0">
        <references count="2">
          <reference field="4294967294" count="1" selected="0">
            <x v="0"/>
          </reference>
          <reference field="1" count="1" selected="0">
            <x v="0"/>
          </reference>
        </references>
      </pivotArea>
    </chartFormat>
    <chartFormat chart="0" format="10" series="1">
      <pivotArea type="data" outline="0" fieldPosition="0">
        <references count="2">
          <reference field="4294967294" count="1" selected="0">
            <x v="0"/>
          </reference>
          <reference field="1" count="1" selected="0">
            <x v="12"/>
          </reference>
        </references>
      </pivotArea>
    </chartFormat>
    <chartFormat chart="0" format="11" series="1">
      <pivotArea type="data" outline="0" fieldPosition="0">
        <references count="2">
          <reference field="4294967294" count="1" selected="0">
            <x v="0"/>
          </reference>
          <reference field="1" count="1" selected="0">
            <x v="6"/>
          </reference>
        </references>
      </pivotArea>
    </chartFormat>
    <chartFormat chart="0" format="12" series="1">
      <pivotArea type="data" outline="0" fieldPosition="0">
        <references count="2">
          <reference field="4294967294" count="1" selected="0">
            <x v="0"/>
          </reference>
          <reference field="1" count="1" selected="0">
            <x v="5"/>
          </reference>
        </references>
      </pivotArea>
    </chartFormat>
    <chartFormat chart="0" format="13" series="1">
      <pivotArea type="data" outline="0" fieldPosition="0">
        <references count="2">
          <reference field="4294967294" count="1" selected="0">
            <x v="0"/>
          </reference>
          <reference field="1" count="1" selected="0">
            <x v="4"/>
          </reference>
        </references>
      </pivotArea>
    </chartFormat>
    <chartFormat chart="2"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94F8F-4090-4321-B60D-97ABD85358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8" firstHeaderRow="1" firstDataRow="1" firstDataCol="1" rowPageCount="1" colPageCount="1"/>
  <pivotFields count="3">
    <pivotField axis="axisPage" showAll="0">
      <items count="31">
        <item x="25"/>
        <item x="26"/>
        <item x="24"/>
        <item x="23"/>
        <item x="18"/>
        <item x="19"/>
        <item x="20"/>
        <item x="17"/>
        <item x="29"/>
        <item x="27"/>
        <item x="28"/>
        <item x="22"/>
        <item x="21"/>
        <item x="14"/>
        <item x="13"/>
        <item x="16"/>
        <item x="15"/>
        <item x="11"/>
        <item x="12"/>
        <item x="8"/>
        <item x="2"/>
        <item x="3"/>
        <item x="0"/>
        <item x="1"/>
        <item x="6"/>
        <item x="4"/>
        <item x="5"/>
        <item x="7"/>
        <item x="9"/>
        <item x="10"/>
        <item t="default"/>
      </items>
    </pivotField>
    <pivotField axis="axisRow" showAll="0">
      <items count="15">
        <item x="0"/>
        <item x="1"/>
        <item x="2"/>
        <item x="3"/>
        <item x="4"/>
        <item x="5"/>
        <item x="6"/>
        <item x="7"/>
        <item x="8"/>
        <item x="9"/>
        <item x="10"/>
        <item x="11"/>
        <item x="12"/>
        <item x="13"/>
        <item t="default"/>
      </items>
    </pivotField>
    <pivotField dataField="1" showAll="0"/>
  </pivotFields>
  <rowFields count="1">
    <field x="1"/>
  </rowFields>
  <rowItems count="15">
    <i>
      <x/>
    </i>
    <i>
      <x v="1"/>
    </i>
    <i>
      <x v="2"/>
    </i>
    <i>
      <x v="3"/>
    </i>
    <i>
      <x v="4"/>
    </i>
    <i>
      <x v="5"/>
    </i>
    <i>
      <x v="6"/>
    </i>
    <i>
      <x v="7"/>
    </i>
    <i>
      <x v="8"/>
    </i>
    <i>
      <x v="9"/>
    </i>
    <i>
      <x v="10"/>
    </i>
    <i>
      <x v="11"/>
    </i>
    <i>
      <x v="12"/>
    </i>
    <i>
      <x v="13"/>
    </i>
    <i t="grand">
      <x/>
    </i>
  </rowItems>
  <colItems count="1">
    <i/>
  </colItems>
  <pageFields count="1">
    <pageField fld="0" item="22" hier="-1"/>
  </pageFields>
  <dataFields count="1">
    <dataField name="Max. of Value" fld="2" subtotal="max" baseField="0"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310579C1-4602-4238-A72A-EB3BEDD82EA0}" autoFormatId="16" applyNumberFormats="0" applyBorderFormats="0" applyFontFormats="0" applyPatternFormats="0" applyAlignmentFormats="0" applyWidthHeightFormats="0">
  <queryTableRefresh nextId="4">
    <queryTableFields count="3">
      <queryTableField id="1" name="Metric" tableColumnId="1"/>
      <queryTableField id="2" name="Month" tableColumnId="2"/>
      <queryTableField id="3" name="Valu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0CC54243-C76B-4236-B5E6-76E2FD046A48}" autoFormatId="16" applyNumberFormats="0" applyBorderFormats="0" applyFontFormats="0" applyPatternFormats="0" applyAlignmentFormats="0" applyWidthHeightFormats="0">
  <queryTableRefresh nextId="4">
    <queryTableFields count="3">
      <queryTableField id="1" name="Metric" tableColumnId="1"/>
      <queryTableField id="2" name="Month" tableColumnId="2"/>
      <queryTableField id="3" name="Valu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1" xr10:uid="{103EF18A-703C-4361-8A76-B46DA269386F}" sourceName="Metric">
  <pivotTables>
    <pivotTable tabId="17" name="PivotTable2"/>
  </pivotTables>
  <data>
    <tabular pivotCacheId="940087315">
      <items count="30">
        <i x="25"/>
        <i x="26"/>
        <i x="24"/>
        <i x="23"/>
        <i x="18"/>
        <i x="19"/>
        <i x="20"/>
        <i x="17"/>
        <i x="29"/>
        <i x="27"/>
        <i x="28"/>
        <i x="22" s="1"/>
        <i x="21"/>
        <i x="14"/>
        <i x="13"/>
        <i x="16"/>
        <i x="15"/>
        <i x="11"/>
        <i x="12"/>
        <i x="8"/>
        <i x="2"/>
        <i x="3"/>
        <i x="0"/>
        <i x="1"/>
        <i x="6"/>
        <i x="4"/>
        <i x="5"/>
        <i x="7"/>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47C36BF8-A047-4917-B77F-EC2779BD3112}" sourceName="Metric">
  <pivotTables>
    <pivotTable tabId="24" name="PivotTable4"/>
  </pivotTables>
  <data>
    <tabular pivotCacheId="855799633">
      <items count="30">
        <i x="25"/>
        <i x="26"/>
        <i x="24"/>
        <i x="23"/>
        <i x="18"/>
        <i x="19"/>
        <i x="20"/>
        <i x="17"/>
        <i x="29"/>
        <i x="27"/>
        <i x="28"/>
        <i x="22"/>
        <i x="21"/>
        <i x="14"/>
        <i x="13"/>
        <i x="16"/>
        <i x="15"/>
        <i x="11"/>
        <i x="12"/>
        <i x="8"/>
        <i x="2"/>
        <i x="3"/>
        <i x="0" s="1"/>
        <i x="1"/>
        <i x="6"/>
        <i x="4"/>
        <i x="5"/>
        <i x="7"/>
        <i x="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1" xr10:uid="{0C1DFFFB-D0EE-4902-A74D-462A393DBD1B}" cache="Slicer_Metric1" caption="Metric" startItem="8"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xr10:uid="{E010D934-C99C-483B-88CD-CEDF7A885B00}" cache="Slicer_Metric" caption="Metric" startItem="16" rowHeight="251883"/>
</slicers>
</file>

<file path=xl/tables/_rels/table8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6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B469EE6-7D72-4CFE-B34B-D9987B51FFD8}" name="MensData" displayName="MensData" ref="C4:Q34" totalsRowShown="0" headerRowDxfId="876" dataDxfId="875">
  <autoFilter ref="C4:Q34" xr:uid="{6B469EE6-7D72-4CFE-B34B-D9987B51FFD8}"/>
  <tableColumns count="15">
    <tableColumn id="1" xr3:uid="{A84C0FCA-26F5-4AFF-8A26-1701088145B3}" name="Metric" dataDxfId="874"/>
    <tableColumn id="2" xr3:uid="{1309702F-63FC-4B80-888D-A1C98D815867}" name="May-26" dataDxfId="873"/>
    <tableColumn id="3" xr3:uid="{2BF91F5D-5FBA-4B24-BF21-92B162AE3F7B}" name="Jun-26" dataDxfId="872"/>
    <tableColumn id="4" xr3:uid="{9192FFC5-55BD-40B1-AF40-67A7E885F893}" name="Jul-26" dataDxfId="871"/>
    <tableColumn id="5" xr3:uid="{5C95FA2E-4D67-4F84-836C-EA857ABD4166}" name="Aug-26" dataDxfId="870"/>
    <tableColumn id="6" xr3:uid="{267AF3AB-9D9F-4DDA-B012-39D5FD092317}" name="Sep-26" dataDxfId="869"/>
    <tableColumn id="7" xr3:uid="{1D5AAC7D-649C-4315-9E58-E698B3B46E78}" name="Oct-26" dataDxfId="868"/>
    <tableColumn id="8" xr3:uid="{18EBF456-72B6-4E57-859D-BCBFF16B07A1}" name="Nov-26" dataDxfId="867"/>
    <tableColumn id="9" xr3:uid="{A55659D1-283B-4368-AFE0-D777646508D8}" name="Dec-26" dataDxfId="866"/>
    <tableColumn id="10" xr3:uid="{8F85B7FF-F96C-4ED2-BB51-3C72CBBBEA74}" name="Jan-27" dataDxfId="865"/>
    <tableColumn id="11" xr3:uid="{8FD29687-2065-42D9-A70E-06E5935757D4}" name="Feb-27" dataDxfId="864"/>
    <tableColumn id="12" xr3:uid="{DBC8F9B3-D973-416D-B659-80B6BE47C307}" name="Mar-27" dataDxfId="863"/>
    <tableColumn id="13" xr3:uid="{83BF4ACA-07B2-479B-BD8A-D2AFB743A8FF}" name="Apr-27" dataDxfId="862"/>
    <tableColumn id="14" xr3:uid="{5AB1B9F6-F4C7-4A1C-966D-82BE7DA8584A}" name="May-27" dataDxfId="861"/>
    <tableColumn id="15" xr3:uid="{5449BB32-6EAC-408A-B215-C5D13C74B748}" name="Jun-27" dataDxfId="8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02D4A8E-2ADD-4A23-83D8-CDC53149AA81}" name="Table3146" displayName="Table3146" ref="Z4:AN34" totalsRowShown="0" headerRowDxfId="859" dataDxfId="858">
  <autoFilter ref="Z4:AN34" xr:uid="{F02D4A8E-2ADD-4A23-83D8-CDC53149AA81}"/>
  <tableColumns count="15">
    <tableColumn id="1" xr3:uid="{08362D07-436D-468B-A8A2-A745DE7F5524}" name="Metric" dataDxfId="857"/>
    <tableColumn id="2" xr3:uid="{039C1003-6B06-4617-A13A-C01BBF82EE7C}" name="May-26" dataDxfId="856"/>
    <tableColumn id="3" xr3:uid="{4107404A-5A6C-476A-A061-629E20ABF755}" name="Jun-26" dataDxfId="855">
      <calculatedColumnFormula>(MensData[[#This Row],[Jun-26]]-MensData[[#This Row],[May-26]])/MensData[[#This Row],[May-26]]</calculatedColumnFormula>
    </tableColumn>
    <tableColumn id="4" xr3:uid="{BDE7C11F-5A6D-4B89-A109-2A2ACFE1F36A}" name="Jul-26" dataDxfId="854">
      <calculatedColumnFormula>(MensData[[#This Row],[Jul-26]]-MensData[[#This Row],[Jun-26]])/MensData[[#This Row],[Jun-26]]</calculatedColumnFormula>
    </tableColumn>
    <tableColumn id="5" xr3:uid="{A4D50D32-1743-4F33-9CA1-1AA773C61088}" name="Aug-26" dataDxfId="853">
      <calculatedColumnFormula>(MensData[[#This Row],[Aug-26]]-MensData[[#This Row],[Jul-26]])/MensData[[#This Row],[Jul-26]]</calculatedColumnFormula>
    </tableColumn>
    <tableColumn id="6" xr3:uid="{E74E599C-F519-4821-9922-F394789C6E27}" name="Sep-26" dataDxfId="852">
      <calculatedColumnFormula>(MensData[[#This Row],[Sep-26]]-MensData[[#This Row],[Aug-26]])/MensData[[#This Row],[Aug-26]]</calculatedColumnFormula>
    </tableColumn>
    <tableColumn id="7" xr3:uid="{E6EBA329-14F6-4769-BCE0-EA6E334259A5}" name="Oct-26" dataDxfId="851">
      <calculatedColumnFormula>(MensData[[#This Row],[Oct-26]]-MensData[[#This Row],[Sep-26]])/MensData[[#This Row],[Sep-26]]</calculatedColumnFormula>
    </tableColumn>
    <tableColumn id="8" xr3:uid="{3D65101E-8DEE-4FD4-BAF6-25A356FAF965}" name="Nov-26" dataDxfId="850">
      <calculatedColumnFormula>(MensData[[#This Row],[Nov-26]]-MensData[[#This Row],[Oct-26]])/MensData[[#This Row],[Oct-26]]</calculatedColumnFormula>
    </tableColumn>
    <tableColumn id="9" xr3:uid="{7274A396-FD2E-4430-8F2F-F42C7D3EF050}" name="Dec-26" dataDxfId="849">
      <calculatedColumnFormula>(MensData[[#This Row],[Dec-26]]-MensData[[#This Row],[Nov-26]])/MensData[[#This Row],[Nov-26]]</calculatedColumnFormula>
    </tableColumn>
    <tableColumn id="10" xr3:uid="{EB0D42B6-849C-4E74-A23B-BEAB6D59BEA0}" name="Jan-27" dataDxfId="848">
      <calculatedColumnFormula>(MensData[[#This Row],[Jan-27]]-MensData[[#This Row],[Dec-26]])/MensData[[#This Row],[Dec-26]]</calculatedColumnFormula>
    </tableColumn>
    <tableColumn id="11" xr3:uid="{7BC8CE0E-D611-455A-8B9F-08AACD84AFEC}" name="Feb-27" dataDxfId="847">
      <calculatedColumnFormula>(MensData[[#This Row],[Feb-27]]-MensData[[#This Row],[Jan-27]])/MensData[[#This Row],[Jan-27]]</calculatedColumnFormula>
    </tableColumn>
    <tableColumn id="12" xr3:uid="{207F533B-2CA2-4012-97FD-E10C20EDEF07}" name="Mar-27" dataDxfId="846">
      <calculatedColumnFormula>(MensData[[#This Row],[Mar-27]]-MensData[[#This Row],[Feb-27]])/MensData[[#This Row],[Feb-27]]</calculatedColumnFormula>
    </tableColumn>
    <tableColumn id="13" xr3:uid="{43BE8CF8-33ED-4BB0-80D7-2CB6AA195756}" name="Apr-27" dataDxfId="845">
      <calculatedColumnFormula>(MensData[[#This Row],[Apr-27]]-MensData[[#This Row],[Mar-27]])/MensData[[#This Row],[Mar-27]]</calculatedColumnFormula>
    </tableColumn>
    <tableColumn id="14" xr3:uid="{5EBC9413-5729-4E05-B1EA-450133B1FD78}" name="May-27" dataDxfId="844">
      <calculatedColumnFormula>(MensData[[#This Row],[May-27]]-MensData[[#This Row],[Apr-27]])/MensData[[#This Row],[Apr-27]]</calculatedColumnFormula>
    </tableColumn>
    <tableColumn id="15" xr3:uid="{D7BE90DA-337A-4BDE-8150-8128550D74E0}" name="Jun-27" dataDxfId="843">
      <calculatedColumnFormula>(MensData[[#This Row],[Jun-27]]-MensData[[#This Row],[May-27]])/MensData[[#This Row],[May-27]]</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E28926-20C3-475D-BDBF-F8281906E60A}" name="Table1" displayName="Table1" ref="Q3:S14" totalsRowShown="0" headerRowDxfId="842" dataDxfId="841">
  <autoFilter ref="Q3:S14" xr:uid="{50E28926-20C3-475D-BDBF-F8281906E60A}"/>
  <tableColumns count="3">
    <tableColumn id="1" xr3:uid="{6343DB9B-CED9-46AA-BBC5-F3174AA52DC0}" name="Metric" dataDxfId="840"/>
    <tableColumn id="2" xr3:uid="{494F4CE9-DBB0-4058-9505-B2128F49559F}" name="Amount" dataDxfId="839">
      <calculatedColumnFormula>'Data Entry'!G5</calculatedColumnFormula>
    </tableColumn>
    <tableColumn id="3" xr3:uid="{98139861-446C-4DE7-8D3B-107BAEDBD261}" name="Monthly Change" dataDxfId="838">
      <calculatedColumnFormula>'Data Entry'!AD5</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8F3CC9-5BF8-4496-8EA0-74628B9090DE}" name="Table2" displayName="Table2" ref="Q26:S30" totalsRowShown="0" headerRowDxfId="837" dataDxfId="836">
  <autoFilter ref="Q26:S30" xr:uid="{978F3CC9-5BF8-4496-8EA0-74628B9090DE}"/>
  <tableColumns count="3">
    <tableColumn id="1" xr3:uid="{B0C210F0-AE62-4697-A18B-EB9FBD2472EC}" name="Metric" dataDxfId="835"/>
    <tableColumn id="2" xr3:uid="{D058E8BB-A8C0-45C9-9657-B7FE6D5085CE}" name="Amount" dataDxfId="834">
      <calculatedColumnFormula>'Data Entry'!G22</calculatedColumnFormula>
    </tableColumn>
    <tableColumn id="3" xr3:uid="{758D346E-42C3-467A-AA35-E13A667359B7}" name="Monthly Change" dataDxfId="833">
      <calculatedColumnFormula>'Data Entry'!AD22</calculatedColumnFormula>
    </tableColumn>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8C1116-1117-4013-A3B0-E12695533783}" name="Table3" displayName="Table3" ref="Q17:S23" totalsRowShown="0" headerRowDxfId="832" dataDxfId="831">
  <autoFilter ref="Q17:S23" xr:uid="{458C1116-1117-4013-A3B0-E12695533783}"/>
  <tableColumns count="3">
    <tableColumn id="1" xr3:uid="{387983A8-2817-4307-A284-ACA705C62B3E}" name="Metric" dataDxfId="830"/>
    <tableColumn id="2" xr3:uid="{B430F343-752D-4A5B-A435-6B8C335347A9}" name="Amount" dataDxfId="829">
      <calculatedColumnFormula>'Data Entry'!G16</calculatedColumnFormula>
    </tableColumn>
    <tableColumn id="3" xr3:uid="{98807500-2194-468A-BE0F-F7AED8A927CA}" name="Monthly Change" dataDxfId="828">
      <calculatedColumnFormula>'Data Entry'!AD16</calculatedColumnFormula>
    </tableColumn>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09CEA8-C7A9-499C-AA0A-C8234A6A23AB}" name="Table4" displayName="Table4" ref="Q33:S35" totalsRowShown="0" headerRowDxfId="827" dataDxfId="826">
  <autoFilter ref="Q33:S35" xr:uid="{9109CEA8-C7A9-499C-AA0A-C8234A6A23AB}"/>
  <tableColumns count="3">
    <tableColumn id="1" xr3:uid="{54DD06FE-B049-44C4-BC90-7A9107BCEB2E}" name="Metric" dataDxfId="825"/>
    <tableColumn id="2" xr3:uid="{F08B4990-ECEE-4EBD-9D0B-1ED9F99DC8D3}" name="Amount" dataDxfId="824">
      <calculatedColumnFormula>'Data Entry'!G26</calculatedColumnFormula>
    </tableColumn>
    <tableColumn id="3" xr3:uid="{6D4B8BF3-5549-4A60-8253-931E8B49EE9E}" name="Monthly Change" dataDxfId="823">
      <calculatedColumnFormula>'Data Entry'!AD26</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3F0AB5-1179-4C9D-867C-C723242C67E6}" name="Table5" displayName="Table5" ref="Q38:S42" totalsRowShown="0" headerRowDxfId="822" dataDxfId="821">
  <autoFilter ref="Q38:S42" xr:uid="{3F3F0AB5-1179-4C9D-867C-C723242C67E6}"/>
  <tableColumns count="3">
    <tableColumn id="1" xr3:uid="{8C276DA9-635A-4562-BBA5-502BC0A963CE}" name="Metric" dataDxfId="820"/>
    <tableColumn id="2" xr3:uid="{3DA74EB3-FE42-4FBB-BBE7-183EDDAC8D78}" name="Amount" dataDxfId="819">
      <calculatedColumnFormula>'Data Entry'!G28</calculatedColumnFormula>
    </tableColumn>
    <tableColumn id="3" xr3:uid="{FACA4061-F991-4EAC-873B-5705662F1ADE}" name="Monthly Change" dataDxfId="818">
      <calculatedColumnFormula>'Data Entry'!AD28</calculatedColumnFormula>
    </tableColumn>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036F59-93BA-4021-AFF1-10334D79DC92}" name="Table6" displayName="Table6" ref="Q45:S48" totalsRowShown="0" headerRowDxfId="817" dataDxfId="816">
  <autoFilter ref="Q45:S48" xr:uid="{88036F59-93BA-4021-AFF1-10334D79DC92}"/>
  <tableColumns count="3">
    <tableColumn id="1" xr3:uid="{716DFB5A-F7F6-4CB2-8F14-A85F63308E50}" name="Metric" dataDxfId="815"/>
    <tableColumn id="2" xr3:uid="{8C524267-0287-4A65-BB85-8FE1C47A7B5C}" name="Amount" dataDxfId="814">
      <calculatedColumnFormula>'Data Entry'!G32</calculatedColumnFormula>
    </tableColumn>
    <tableColumn id="3" xr3:uid="{589AA765-D810-4044-A942-53E0B2F4034D}" name="Monthly Change" dataDxfId="813">
      <calculatedColumnFormula>'Data Entry'!AD32</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8E30C4-57C1-40A7-B5E4-5A721328B9F8}" name="Table18" displayName="Table18" ref="Y3:AA14" totalsRowShown="0" headerRowDxfId="812" dataDxfId="811">
  <autoFilter ref="Y3:AA14" xr:uid="{2F8E30C4-57C1-40A7-B5E4-5A721328B9F8}"/>
  <tableColumns count="3">
    <tableColumn id="1" xr3:uid="{80DDEFE9-12BF-4503-B07A-C695B484AD79}" name="Metric" dataDxfId="810"/>
    <tableColumn id="2" xr3:uid="{FB4CC404-0EB5-426A-B72D-FEC9368D765B}" name="Amount" dataDxfId="809">
      <calculatedColumnFormula>'Data Entry'!H5</calculatedColumnFormula>
    </tableColumn>
    <tableColumn id="3" xr3:uid="{71765E67-B690-4D2B-8486-4E53D745A80D}" name="Monthly Change" dataDxfId="808">
      <calculatedColumnFormula>'Data Entry'!AE5</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4A1F5F-C704-4F0F-A9C4-4162E99E3113}" name="Table29" displayName="Table29" ref="Y26:AA30" totalsRowShown="0" headerRowDxfId="807" dataDxfId="806">
  <autoFilter ref="Y26:AA30" xr:uid="{1A4A1F5F-C704-4F0F-A9C4-4162E99E3113}"/>
  <tableColumns count="3">
    <tableColumn id="1" xr3:uid="{9A90C47D-74FE-4684-BE7B-475ECF657CC1}" name="Metric" dataDxfId="805"/>
    <tableColumn id="2" xr3:uid="{6AA83C45-330E-4A6E-837D-43C2CBA38D64}" name="Amount" dataDxfId="804">
      <calculatedColumnFormula>'Data Entry'!H22</calculatedColumnFormula>
    </tableColumn>
    <tableColumn id="3" xr3:uid="{9089D86C-9690-4F3C-8DD8-D86F0A17C359}" name="Monthly Change" dataDxfId="803">
      <calculatedColumnFormula>'Data Entry'!AE22</calculatedColumnFormula>
    </tableColumn>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207D9-6A39-4F1A-B830-6BE0E3F8852B}" name="Table310" displayName="Table310" ref="Y17:AA23" totalsRowShown="0" headerRowDxfId="802" dataDxfId="801">
  <autoFilter ref="Y17:AA23" xr:uid="{54B207D9-6A39-4F1A-B830-6BE0E3F8852B}"/>
  <tableColumns count="3">
    <tableColumn id="1" xr3:uid="{176FC47C-7DD6-445A-B0A4-91B4CA2DCB40}" name="Metric" dataDxfId="800"/>
    <tableColumn id="2" xr3:uid="{84500DB6-B5A4-4CF0-8707-6F8B2BF80393}" name="Amount" dataDxfId="799">
      <calculatedColumnFormula>'Data Entry'!H16</calculatedColumnFormula>
    </tableColumn>
    <tableColumn id="3" xr3:uid="{93865B05-7664-42AE-9C9B-5A464569B5F2}" name="Monthly Change" dataDxfId="798">
      <calculatedColumnFormula>'Data Entry'!AE16</calculatedColumnFormula>
    </tableColumn>
  </tableColumns>
  <tableStyleInfo name="TableStyleLight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FC04C1-1498-40B0-BABC-59823356F662}" name="Table411" displayName="Table411" ref="Y33:AA35" totalsRowShown="0" headerRowDxfId="797" dataDxfId="796">
  <autoFilter ref="Y33:AA35" xr:uid="{1DFC04C1-1498-40B0-BABC-59823356F662}"/>
  <tableColumns count="3">
    <tableColumn id="1" xr3:uid="{98F29E3E-880B-4622-92D9-A728B164C4B1}" name="Metric" dataDxfId="795"/>
    <tableColumn id="2" xr3:uid="{298E77B8-16BC-42F1-8715-CF3F32B156C2}" name="Amount" dataDxfId="794">
      <calculatedColumnFormula>'Data Entry'!H26</calculatedColumnFormula>
    </tableColumn>
    <tableColumn id="3" xr3:uid="{3C91ADEF-3321-4AD9-8C5F-8AAC1146F8DC}" name="Monthly Change" dataDxfId="793">
      <calculatedColumnFormula>'Data Entry'!AE26</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05F4C5-4511-4AE9-AC96-46901C23998E}" name="Table512" displayName="Table512" ref="Y38:AA42" totalsRowShown="0" headerRowDxfId="792" dataDxfId="791">
  <autoFilter ref="Y38:AA42" xr:uid="{7D05F4C5-4511-4AE9-AC96-46901C23998E}"/>
  <tableColumns count="3">
    <tableColumn id="1" xr3:uid="{33DAB771-D40F-4957-9E94-86E36C4F8443}" name="Metric" dataDxfId="790"/>
    <tableColumn id="2" xr3:uid="{F47D7784-FD59-4EBE-B116-429E741BD12D}" name="Amount" dataDxfId="789">
      <calculatedColumnFormula>'Data Entry'!H28</calculatedColumnFormula>
    </tableColumn>
    <tableColumn id="3" xr3:uid="{539187EF-A85F-4F55-992B-CECAEBADEB3A}" name="Monthly Change" dataDxfId="788">
      <calculatedColumnFormula>'Data Entry'!AE28</calculatedColumnFormula>
    </tableColumn>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A3CD13E-4619-4692-B363-F4CB2885E596}" name="Table613" displayName="Table613" ref="Y45:AA48" totalsRowShown="0" headerRowDxfId="787" dataDxfId="786">
  <autoFilter ref="Y45:AA48" xr:uid="{FA3CD13E-4619-4692-B363-F4CB2885E596}"/>
  <tableColumns count="3">
    <tableColumn id="1" xr3:uid="{F9F51385-A121-4050-ACD9-A8E74E0727B3}" name="Metric" dataDxfId="785"/>
    <tableColumn id="2" xr3:uid="{5940982F-EA80-4993-BE5F-25D4C75D0120}" name="Amount" dataDxfId="784">
      <calculatedColumnFormula>'Data Entry'!H32</calculatedColumnFormula>
    </tableColumn>
    <tableColumn id="3" xr3:uid="{C89E4152-3109-4D9D-B37E-3694116349FD}" name="Monthly Change" dataDxfId="783">
      <calculatedColumnFormula>'Data Entry'!AE32</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9AC4D04-398F-4B93-A100-FE21954EB757}" name="Table1814" displayName="Table1814" ref="AG3:AI14" totalsRowShown="0" headerRowDxfId="782" dataDxfId="781">
  <autoFilter ref="AG3:AI14" xr:uid="{69AC4D04-398F-4B93-A100-FE21954EB757}"/>
  <tableColumns count="3">
    <tableColumn id="1" xr3:uid="{B16E6FEA-BD2B-4002-B276-A585410C3844}" name="Metric" dataDxfId="780"/>
    <tableColumn id="2" xr3:uid="{691444B1-12F8-48FA-B97F-84DD524BF2E6}" name="Amount" dataDxfId="779">
      <calculatedColumnFormula>'Data Entry'!I5</calculatedColumnFormula>
    </tableColumn>
    <tableColumn id="3" xr3:uid="{F75A3719-BE78-4F08-B382-FCE21A94D6F9}" name="Monthly Change" dataDxfId="778">
      <calculatedColumnFormula>'Data Entry'!AF5</calculatedColumnFormula>
    </tableColumn>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0FF5D0-CB81-4D95-8A82-6BC07159B5F7}" name="Table2915" displayName="Table2915" ref="AG26:AI30" totalsRowShown="0" headerRowDxfId="777" dataDxfId="776">
  <autoFilter ref="AG26:AI30" xr:uid="{E60FF5D0-CB81-4D95-8A82-6BC07159B5F7}"/>
  <tableColumns count="3">
    <tableColumn id="1" xr3:uid="{251FBDB4-1C7F-445D-9620-B6D576E81EE3}" name="Metric" dataDxfId="775"/>
    <tableColumn id="2" xr3:uid="{7ECF389F-0EFC-4502-9E48-78E1B65725B0}" name="Amount" dataDxfId="774">
      <calculatedColumnFormula>'Data Entry'!I22</calculatedColumnFormula>
    </tableColumn>
    <tableColumn id="3" xr3:uid="{805A66D3-CA25-4A5D-92FD-9163408C6B1E}" name="Monthly Change" dataDxfId="773">
      <calculatedColumnFormula>'Data Entry'!AF22</calculatedColumnFormula>
    </tableColumn>
  </tableColumns>
  <tableStyleInfo name="TableStyleMedium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FCF0678-D1E1-467D-B506-67057012922C}" name="Table31016" displayName="Table31016" ref="AG17:AI23" totalsRowShown="0" headerRowDxfId="772" dataDxfId="771">
  <autoFilter ref="AG17:AI23" xr:uid="{EFCF0678-D1E1-467D-B506-67057012922C}"/>
  <tableColumns count="3">
    <tableColumn id="1" xr3:uid="{850D6D2E-266A-41DE-BCE0-5B94499DD716}" name="Metric" dataDxfId="770"/>
    <tableColumn id="2" xr3:uid="{B534A674-F30E-468B-ABD4-1D29048ED8B5}" name="Amount" dataDxfId="769">
      <calculatedColumnFormula>'Data Entry'!I16</calculatedColumnFormula>
    </tableColumn>
    <tableColumn id="3" xr3:uid="{00BF75F8-F0F0-4986-A0F9-D70AF70A1997}" name="Monthly Change" dataDxfId="768">
      <calculatedColumnFormula>'Data Entry'!AF16</calculatedColumnFormula>
    </tableColumn>
  </tableColumns>
  <tableStyleInfo name="TableStyleLight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ED4F68-2426-4F40-9D1A-552C58B43BA0}" name="Table41117" displayName="Table41117" ref="AG33:AI35" totalsRowShown="0" headerRowDxfId="767" dataDxfId="766">
  <autoFilter ref="AG33:AI35" xr:uid="{0DED4F68-2426-4F40-9D1A-552C58B43BA0}"/>
  <tableColumns count="3">
    <tableColumn id="1" xr3:uid="{A97C5B19-F504-42D7-9EE2-CD1614C3373D}" name="Metric" dataDxfId="765"/>
    <tableColumn id="2" xr3:uid="{00BA9214-9B59-495D-A3D5-C90AD709C096}" name="Amount" dataDxfId="764">
      <calculatedColumnFormula>'Data Entry'!I26</calculatedColumnFormula>
    </tableColumn>
    <tableColumn id="3" xr3:uid="{854E2EE9-F531-4D63-8AAA-3528E5D5B9A7}" name="Monthly Change" dataDxfId="763">
      <calculatedColumnFormula>'Data Entry'!AF26</calculatedColumnFormula>
    </tableColumn>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83A3E3-8F2B-470A-AA3E-49A90A772C45}" name="Table51218" displayName="Table51218" ref="AG38:AI42" totalsRowShown="0" headerRowDxfId="762" dataDxfId="761">
  <autoFilter ref="AG38:AI42" xr:uid="{8A83A3E3-8F2B-470A-AA3E-49A90A772C45}"/>
  <tableColumns count="3">
    <tableColumn id="1" xr3:uid="{BDCC521C-00E8-4AEA-AFCE-E7E9F1DE99EC}" name="Metric" dataDxfId="760"/>
    <tableColumn id="2" xr3:uid="{018A19F7-2C6D-444F-9223-073DEB2F06A7}" name="Amount" dataDxfId="759">
      <calculatedColumnFormula>'Data Entry'!I28</calculatedColumnFormula>
    </tableColumn>
    <tableColumn id="3" xr3:uid="{4BB95029-2782-4780-A8AC-DE66DEF631F2}" name="Monthly Change" dataDxfId="758">
      <calculatedColumnFormula>'Data Entry'!AF28</calculatedColumnFormula>
    </tableColumn>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3CFCF4E-80DF-4F87-87A7-E19B983C6F00}" name="Table61319" displayName="Table61319" ref="AG45:AI48" totalsRowShown="0" headerRowDxfId="757" dataDxfId="756">
  <autoFilter ref="AG45:AI48" xr:uid="{23CFCF4E-80DF-4F87-87A7-E19B983C6F00}"/>
  <tableColumns count="3">
    <tableColumn id="1" xr3:uid="{D40521A8-E200-460E-BB4E-A3D09CD5A30C}" name="Metric" dataDxfId="755"/>
    <tableColumn id="2" xr3:uid="{C3E487F6-3E14-47CB-A6A0-EF939D432AAA}" name="Amount" dataDxfId="754">
      <calculatedColumnFormula>'Data Entry'!I32</calculatedColumnFormula>
    </tableColumn>
    <tableColumn id="3" xr3:uid="{BB4393BD-B3C9-46DF-90D8-CCB1FA16395C}" name="Monthly Change" dataDxfId="753">
      <calculatedColumnFormula>'Data Entry'!AF32</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5CA166-E1F7-453D-8F74-82D4C0B3AED1}" name="Table1820" displayName="Table1820" ref="AO3:AQ14" totalsRowShown="0" headerRowDxfId="752" dataDxfId="751">
  <autoFilter ref="AO3:AQ14" xr:uid="{945CA166-E1F7-453D-8F74-82D4C0B3AED1}"/>
  <tableColumns count="3">
    <tableColumn id="1" xr3:uid="{F94AD314-84A5-490B-9E95-1A5CF3253942}" name="Metric" dataDxfId="750"/>
    <tableColumn id="2" xr3:uid="{81544A67-9D6F-46F3-9AD3-3C06F407F322}" name="Amount" dataDxfId="749">
      <calculatedColumnFormula>'Data Entry'!J5</calculatedColumnFormula>
    </tableColumn>
    <tableColumn id="3" xr3:uid="{54C3237C-3B7A-4630-A374-2D7DA47437A2}" name="Monthly Change" dataDxfId="748">
      <calculatedColumnFormula>'Data Entry'!AG5</calculatedColumnFormula>
    </tableColumn>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286AA61-FACE-4897-ABBF-55A7C9FA94B3}" name="Table2921" displayName="Table2921" ref="AO26:AQ30" totalsRowShown="0" headerRowDxfId="747" dataDxfId="746">
  <autoFilter ref="AO26:AQ30" xr:uid="{5286AA61-FACE-4897-ABBF-55A7C9FA94B3}"/>
  <tableColumns count="3">
    <tableColumn id="1" xr3:uid="{170C6F83-715D-425A-B0AA-559D448BDE94}" name="Metric" dataDxfId="745"/>
    <tableColumn id="2" xr3:uid="{0A8B79AF-05D4-4457-BC11-0E0E6E251826}" name="Amount" dataDxfId="744">
      <calculatedColumnFormula>'Data Entry'!J22</calculatedColumnFormula>
    </tableColumn>
    <tableColumn id="3" xr3:uid="{E8702DEE-43F1-4541-88C5-F779F4322799}" name="Monthly Change" dataDxfId="743">
      <calculatedColumnFormula>'Data Entry'!AG22</calculatedColumnFormula>
    </tableColumn>
  </tableColumns>
  <tableStyleInfo name="TableStyleMedium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26136AC-F550-4383-B2C9-BB7EAFA36756}" name="Table31022" displayName="Table31022" ref="AO17:AQ23" totalsRowShown="0" headerRowDxfId="742" dataDxfId="741">
  <autoFilter ref="AO17:AQ23" xr:uid="{626136AC-F550-4383-B2C9-BB7EAFA36756}"/>
  <tableColumns count="3">
    <tableColumn id="1" xr3:uid="{7E975AEE-11D0-4B6E-A56E-21F122B5E051}" name="Metric" dataDxfId="740"/>
    <tableColumn id="2" xr3:uid="{091D6D9B-8795-46BB-BF33-8AF8F8A3BC2D}" name="Amount" dataDxfId="739">
      <calculatedColumnFormula>'Data Entry'!J16</calculatedColumnFormula>
    </tableColumn>
    <tableColumn id="3" xr3:uid="{E732E5B4-B9C6-4025-BD48-A4685DA8422D}" name="Monthly Change" dataDxfId="738">
      <calculatedColumnFormula>'Data Entry'!AG16</calculatedColumnFormula>
    </tableColumn>
  </tableColumns>
  <tableStyleInfo name="TableStyleLight1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4F9B6F5-7CAA-4DA7-849D-04162C95C5B3}" name="Table41123" displayName="Table41123" ref="AO33:AQ35" totalsRowShown="0" headerRowDxfId="737" dataDxfId="736">
  <autoFilter ref="AO33:AQ35" xr:uid="{F4F9B6F5-7CAA-4DA7-849D-04162C95C5B3}"/>
  <tableColumns count="3">
    <tableColumn id="1" xr3:uid="{686AF0E0-A02E-4E98-BCB6-B15F517BA5AD}" name="Metric" dataDxfId="735"/>
    <tableColumn id="2" xr3:uid="{884E4683-2F72-4A43-8163-52956699A201}" name="Amount" dataDxfId="734">
      <calculatedColumnFormula>'Data Entry'!J26</calculatedColumnFormula>
    </tableColumn>
    <tableColumn id="3" xr3:uid="{D6E7779C-C86E-4F26-BEC9-8A7A62FD2457}" name="Monthly Change" dataDxfId="733">
      <calculatedColumnFormula>'Data Entry'!AG26</calculatedColumnFormula>
    </tableColumn>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FFC43FA-812D-4B14-A00F-819A80B4A626}" name="Table51224" displayName="Table51224" ref="AO38:AQ42" totalsRowShown="0" headerRowDxfId="732" dataDxfId="731">
  <autoFilter ref="AO38:AQ42" xr:uid="{0FFC43FA-812D-4B14-A00F-819A80B4A626}"/>
  <tableColumns count="3">
    <tableColumn id="1" xr3:uid="{9C2DED75-2353-4E6F-AB56-1392036A28CF}" name="Metric" dataDxfId="730"/>
    <tableColumn id="2" xr3:uid="{12B20488-6DD3-43BE-BA8C-0885E520344A}" name="Amount" dataDxfId="729">
      <calculatedColumnFormula>'Data Entry'!J28</calculatedColumnFormula>
    </tableColumn>
    <tableColumn id="3" xr3:uid="{2BF6848A-DC6B-4A0F-B9BB-CA81EA5920E8}" name="Monthly Change" dataDxfId="728">
      <calculatedColumnFormula>'Data Entry'!AG28</calculatedColumnFormula>
    </tableColumn>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2A6A1C8-AB29-4757-A0BB-A9225ED09922}" name="Table61325" displayName="Table61325" ref="AO45:AQ48" totalsRowShown="0" headerRowDxfId="727" dataDxfId="726">
  <autoFilter ref="AO45:AQ48" xr:uid="{42A6A1C8-AB29-4757-A0BB-A9225ED09922}"/>
  <tableColumns count="3">
    <tableColumn id="1" xr3:uid="{6A16DFD1-9F00-4643-AE65-00FB1F32DEC4}" name="Metric" dataDxfId="725"/>
    <tableColumn id="2" xr3:uid="{E946ED4B-1A4D-4EBA-AB7F-447480C31BF6}" name="Amount" dataDxfId="724">
      <calculatedColumnFormula>'Data Entry'!J32</calculatedColumnFormula>
    </tableColumn>
    <tableColumn id="3" xr3:uid="{EEE2C83D-C92E-45FD-8123-9C8B22C2FC6C}" name="Monthly Change" dataDxfId="723">
      <calculatedColumnFormula>'Data Entry'!AG32</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59440AB-ABCA-4C3B-B9B5-974B79EDD43B}" name="Table182026" displayName="Table182026" ref="AW3:AY14" totalsRowShown="0" headerRowDxfId="722" dataDxfId="721">
  <autoFilter ref="AW3:AY14" xr:uid="{159440AB-ABCA-4C3B-B9B5-974B79EDD43B}"/>
  <tableColumns count="3">
    <tableColumn id="1" xr3:uid="{5F329CD0-147F-4ED4-817B-1E12ED21B5EE}" name="Metric" dataDxfId="720"/>
    <tableColumn id="2" xr3:uid="{9BC89197-8847-4670-A499-09F6E9B123D6}" name="Amount" dataDxfId="719">
      <calculatedColumnFormula>'Data Entry'!K5</calculatedColumnFormula>
    </tableColumn>
    <tableColumn id="3" xr3:uid="{197914E9-1696-4915-A49C-714FD9EFA744}" name="Monthly Change" dataDxfId="718">
      <calculatedColumnFormula>'Data Entry'!AH5</calculatedColumnFormula>
    </tableColumn>
  </tableColumns>
  <tableStyleInfo name="TableStyleMedium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B7267DA-09D7-4D98-A0BD-02C8C423DD7C}" name="Table292127" displayName="Table292127" ref="AW26:AY30" totalsRowShown="0" headerRowDxfId="717" dataDxfId="716">
  <autoFilter ref="AW26:AY30" xr:uid="{BB7267DA-09D7-4D98-A0BD-02C8C423DD7C}"/>
  <tableColumns count="3">
    <tableColumn id="1" xr3:uid="{8FC3AADE-B524-4156-A4C1-578505E03E31}" name="Metric" dataDxfId="715"/>
    <tableColumn id="2" xr3:uid="{9CB762CC-0817-4EF2-A650-2D23BBA0C409}" name="Amount" dataDxfId="714">
      <calculatedColumnFormula>'Data Entry'!K22</calculatedColumnFormula>
    </tableColumn>
    <tableColumn id="3" xr3:uid="{7C73342E-B2AF-4D54-9E83-1311440DAEA2}" name="Monthly Change" dataDxfId="713">
      <calculatedColumnFormula>'Data Entry'!AH22</calculatedColumnFormula>
    </tableColumn>
  </tableColumns>
  <tableStyleInfo name="TableStyleMedium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2C82BD1-8D1F-4055-89BD-3D8096ABBA9C}" name="Table3102228" displayName="Table3102228" ref="AW17:AY23" totalsRowShown="0" headerRowDxfId="712" dataDxfId="711">
  <autoFilter ref="AW17:AY23" xr:uid="{62C82BD1-8D1F-4055-89BD-3D8096ABBA9C}"/>
  <tableColumns count="3">
    <tableColumn id="1" xr3:uid="{4D10AFC4-7AA2-454A-B02F-BA0F27E98EDA}" name="Metric" dataDxfId="710"/>
    <tableColumn id="2" xr3:uid="{12641500-28AC-4AAB-AC04-A8A72CC41087}" name="Amount" dataDxfId="709">
      <calculatedColumnFormula>'Data Entry'!K16</calculatedColumnFormula>
    </tableColumn>
    <tableColumn id="3" xr3:uid="{104F2C0C-CD7B-4EFD-8491-09F6DFCA7A25}" name="Monthly Change" dataDxfId="708">
      <calculatedColumnFormula>'Data Entry'!AH16</calculatedColumnFormula>
    </tableColumn>
  </tableColumns>
  <tableStyleInfo name="TableStyleLight1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DF79115-2B48-425B-AA38-5C11CA22F011}" name="Table4112329" displayName="Table4112329" ref="AW33:AY35" totalsRowShown="0" headerRowDxfId="707" dataDxfId="706">
  <autoFilter ref="AW33:AY35" xr:uid="{9DF79115-2B48-425B-AA38-5C11CA22F011}"/>
  <tableColumns count="3">
    <tableColumn id="1" xr3:uid="{6748FBBF-124F-4DBD-895B-95A975A8D8A8}" name="Metric" dataDxfId="705"/>
    <tableColumn id="2" xr3:uid="{601D0214-A2CA-46F0-9633-7D1138219E94}" name="Amount" dataDxfId="704">
      <calculatedColumnFormula>'Data Entry'!K26</calculatedColumnFormula>
    </tableColumn>
    <tableColumn id="3" xr3:uid="{79AF4958-6C8C-4522-B89D-F17902E8014C}" name="Monthly Change" dataDxfId="703">
      <calculatedColumnFormula>'Data Entry'!AH26</calculatedColumnFormula>
    </tableColumn>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64BE4AA-BB48-4D34-9A25-75ED4E470E0E}" name="Table5122430" displayName="Table5122430" ref="AW38:AY42" totalsRowShown="0" headerRowDxfId="702" dataDxfId="701">
  <autoFilter ref="AW38:AY42" xr:uid="{E64BE4AA-BB48-4D34-9A25-75ED4E470E0E}"/>
  <tableColumns count="3">
    <tableColumn id="1" xr3:uid="{3DF39354-31B2-45AC-BA94-ADFF8415B837}" name="Metric" dataDxfId="700"/>
    <tableColumn id="2" xr3:uid="{721E03D4-5D4B-4824-ACD2-BA6BC0BAC992}" name="Amount" dataDxfId="699">
      <calculatedColumnFormula>'Data Entry'!K28</calculatedColumnFormula>
    </tableColumn>
    <tableColumn id="3" xr3:uid="{52204A53-3013-4F5B-B4D7-E98C5EE99897}" name="Monthly Change" dataDxfId="698">
      <calculatedColumnFormula>'Data Entry'!AH28</calculatedColumnFormula>
    </tableColumn>
  </tableColumns>
  <tableStyleInfo name="TableStyleLight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A3D4CFB-C30A-4E79-9447-5061BF047097}" name="Table6132531" displayName="Table6132531" ref="AW45:AY48" totalsRowShown="0" headerRowDxfId="697" dataDxfId="696">
  <autoFilter ref="AW45:AY48" xr:uid="{7A3D4CFB-C30A-4E79-9447-5061BF047097}"/>
  <tableColumns count="3">
    <tableColumn id="1" xr3:uid="{12119F7A-D4A0-46D3-B1FC-815921914BC2}" name="Metric" dataDxfId="695"/>
    <tableColumn id="2" xr3:uid="{2FE80A2C-818E-4FF0-8475-FE0029F62213}" name="Amount" dataDxfId="694">
      <calculatedColumnFormula>'Data Entry'!K32</calculatedColumnFormula>
    </tableColumn>
    <tableColumn id="3" xr3:uid="{EE3A2E39-466C-4374-A2D5-97D7C6CBA35C}" name="Monthly Change" dataDxfId="693">
      <calculatedColumnFormula>'Data Entry'!AH32</calculatedColumnFormula>
    </tableColum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B1F7A2F-820C-482A-B181-3387B2F17B28}" name="Table133" displayName="Table133" ref="J3:L14" totalsRowShown="0" headerRowDxfId="692" dataDxfId="691">
  <autoFilter ref="J3:L14" xr:uid="{9B1F7A2F-820C-482A-B181-3387B2F17B28}"/>
  <tableColumns count="3">
    <tableColumn id="1" xr3:uid="{8008318F-E58D-4428-99D4-B27C2C13C976}" name="Metric" dataDxfId="690"/>
    <tableColumn id="2" xr3:uid="{64B6F64F-DFE0-435D-B612-E99D3EA1FDB1}" name="Amount" dataDxfId="689">
      <calculatedColumnFormula>'Data Entry'!F5</calculatedColumnFormula>
    </tableColumn>
    <tableColumn id="3" xr3:uid="{6CD10793-1A93-4B2C-AB8D-BE9B1F10DDD3}" name="Monthly Change" dataDxfId="688">
      <calculatedColumnFormula>'Data Entry'!AC5</calculatedColumnFormula>
    </tableColumn>
  </tableColumns>
  <tableStyleInfo name="TableStyleMedium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04A1585-F6D1-4E6C-A283-531D0D073DBE}" name="Table234" displayName="Table234" ref="J26:L30" totalsRowShown="0" headerRowDxfId="687" dataDxfId="686">
  <autoFilter ref="J26:L30" xr:uid="{D04A1585-F6D1-4E6C-A283-531D0D073DBE}"/>
  <tableColumns count="3">
    <tableColumn id="1" xr3:uid="{9F51AAD7-B22D-45D1-994F-EB12C1ED7715}" name="Metric" dataDxfId="685"/>
    <tableColumn id="2" xr3:uid="{93A17D4A-5635-46CB-89FC-A335AFF04EE6}" name="Amount" dataDxfId="684">
      <calculatedColumnFormula>'Data Entry'!F22</calculatedColumnFormula>
    </tableColumn>
    <tableColumn id="3" xr3:uid="{B05A6BD1-11C7-46A3-8A83-DB57446A2D49}" name="Monthly Change" dataDxfId="683">
      <calculatedColumnFormula>'Data Entry'!AC22</calculatedColumnFormula>
    </tableColumn>
  </tableColumns>
  <tableStyleInfo name="TableStyleMedium6"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74BCE57-B09C-4B6E-BEE3-8E007C423CF4}" name="Table335" displayName="Table335" ref="J17:L23" totalsRowShown="0" headerRowDxfId="682" dataDxfId="681">
  <autoFilter ref="J17:L23" xr:uid="{574BCE57-B09C-4B6E-BEE3-8E007C423CF4}"/>
  <tableColumns count="3">
    <tableColumn id="1" xr3:uid="{E3423661-78BD-4C86-BDFC-CD6B11C2EFEB}" name="Metric" dataDxfId="680"/>
    <tableColumn id="2" xr3:uid="{934759C8-0D95-4DDD-9F4E-8AEB4F1C5C51}" name="Amount" dataDxfId="679">
      <calculatedColumnFormula>'Data Entry'!F16</calculatedColumnFormula>
    </tableColumn>
    <tableColumn id="3" xr3:uid="{6F8582E7-2E61-4CE7-BCC6-D812969E0C5B}" name="Monthly Change" dataDxfId="678">
      <calculatedColumnFormula>'Data Entry'!AC16</calculatedColumnFormula>
    </tableColumn>
  </tableColumns>
  <tableStyleInfo name="TableStyleLight13"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246D3DA-5803-4941-9586-DECBC4C4C39E}" name="Table436" displayName="Table436" ref="J33:L35" totalsRowShown="0" headerRowDxfId="677" dataDxfId="676">
  <autoFilter ref="J33:L35" xr:uid="{3246D3DA-5803-4941-9586-DECBC4C4C39E}"/>
  <tableColumns count="3">
    <tableColumn id="1" xr3:uid="{F2DE0C1D-3440-4C20-9538-3305DB76DF3C}" name="Metric" dataDxfId="675"/>
    <tableColumn id="2" xr3:uid="{E965D464-B179-4757-B775-11DA42D2B6E2}" name="Amount" dataDxfId="674">
      <calculatedColumnFormula>'Data Entry'!F26</calculatedColumnFormula>
    </tableColumn>
    <tableColumn id="3" xr3:uid="{5A659835-180C-4F1A-BFEC-0300A0925838}" name="Monthly Change" dataDxfId="673">
      <calculatedColumnFormula>'Data Entry'!AC26</calculatedColumnFormula>
    </tableColumn>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34AD843-0370-4B9B-A3C3-443B10BFC4D6}" name="Table537" displayName="Table537" ref="J38:L42" totalsRowShown="0" headerRowDxfId="672" dataDxfId="671">
  <autoFilter ref="J38:L42" xr:uid="{134AD843-0370-4B9B-A3C3-443B10BFC4D6}"/>
  <tableColumns count="3">
    <tableColumn id="1" xr3:uid="{CB978323-262A-482F-8383-7B64C36D5EFC}" name="Metric" dataDxfId="670"/>
    <tableColumn id="2" xr3:uid="{E5E31D38-B0C8-421A-8DD1-4ADDB6605F4B}" name="Amount" dataDxfId="669">
      <calculatedColumnFormula>'Data Entry'!F28</calculatedColumnFormula>
    </tableColumn>
    <tableColumn id="3" xr3:uid="{85D1F618-3AE8-44BB-B536-38E3E0556C58}" name="Monthly Change" dataDxfId="668">
      <calculatedColumnFormula>'Data Entry'!AC28</calculatedColumnFormula>
    </tableColumn>
  </tableColumns>
  <tableStyleInfo name="TableStyleLight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75D85BD-A272-4A5A-BA2B-305571ED1A12}" name="Table638" displayName="Table638" ref="J45:L48" totalsRowShown="0" headerRowDxfId="667" dataDxfId="666">
  <autoFilter ref="J45:L48" xr:uid="{575D85BD-A272-4A5A-BA2B-305571ED1A12}"/>
  <tableColumns count="3">
    <tableColumn id="1" xr3:uid="{B5FEB8BD-FE71-437F-90AD-C85A24215E2E}" name="Metric" dataDxfId="665"/>
    <tableColumn id="2" xr3:uid="{9F378784-B0C4-4AA7-9C83-E1E9697A9928}" name="Amount" dataDxfId="664">
      <calculatedColumnFormula>'Data Entry'!F32</calculatedColumnFormula>
    </tableColumn>
    <tableColumn id="3" xr3:uid="{58CB039A-44E4-463B-9C99-B5D05AAD5D9A}" name="Monthly Change" dataDxfId="663">
      <calculatedColumnFormula>'Data Entry'!AC32</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9089E88-4995-4434-98B4-7BD094FFEE86}" name="Table13339" displayName="Table13339" ref="B3:D14" totalsRowShown="0" headerRowDxfId="662" dataDxfId="661">
  <autoFilter ref="B3:D14" xr:uid="{19089E88-4995-4434-98B4-7BD094FFEE86}"/>
  <tableColumns count="3">
    <tableColumn id="1" xr3:uid="{634CC658-9750-4FF1-A1FA-2BD25DD2FA9E}" name="Metric" dataDxfId="660"/>
    <tableColumn id="2" xr3:uid="{17E1A775-CB49-45E7-8082-186BFD6A5338}" name="Amount" dataDxfId="659">
      <calculatedColumnFormula>'Data Entry'!E5</calculatedColumnFormula>
    </tableColumn>
    <tableColumn id="3" xr3:uid="{B93F56E8-11AC-40CD-93C7-7C41057B8C44}" name="Monthly Change" dataDxfId="658">
      <calculatedColumnFormula>'Data Entry'!AB5</calculatedColumnFormula>
    </tableColumn>
  </tableColumns>
  <tableStyleInfo name="TableStyleMedium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B068B6D-1F79-419F-9D7F-C677CFD3E285}" name="Table23440" displayName="Table23440" ref="B26:D30" totalsRowShown="0" headerRowDxfId="657" dataDxfId="656">
  <autoFilter ref="B26:D30" xr:uid="{8B068B6D-1F79-419F-9D7F-C677CFD3E285}"/>
  <tableColumns count="3">
    <tableColumn id="1" xr3:uid="{6C64CEBC-4332-45FA-956E-9A5911B39EF0}" name="Metric" dataDxfId="655"/>
    <tableColumn id="2" xr3:uid="{8FC222FE-EB3B-4982-9441-576617B32A34}" name="Amount" dataDxfId="654">
      <calculatedColumnFormula>'Data Entry'!E22</calculatedColumnFormula>
    </tableColumn>
    <tableColumn id="3" xr3:uid="{41B5AD21-66C1-4D14-976A-7F3528A876E0}" name="Monthly Change" dataDxfId="653">
      <calculatedColumnFormula>'Data Entry'!AB22</calculatedColumnFormula>
    </tableColumn>
  </tableColumns>
  <tableStyleInfo name="TableStyleMedium6"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0E992D3-9F66-432E-9B40-1BB5F34DE712}" name="Table33541" displayName="Table33541" ref="B17:D23" totalsRowShown="0" headerRowDxfId="652" dataDxfId="651">
  <autoFilter ref="B17:D23" xr:uid="{70E992D3-9F66-432E-9B40-1BB5F34DE712}"/>
  <tableColumns count="3">
    <tableColumn id="1" xr3:uid="{2362CEDC-5236-4DC4-918F-9E7747FDB519}" name="Metric" dataDxfId="650"/>
    <tableColumn id="2" xr3:uid="{4E4C4FE2-87D8-44F2-83E0-D6A273280FBB}" name="Amount" dataDxfId="649">
      <calculatedColumnFormula>'Data Entry'!E16</calculatedColumnFormula>
    </tableColumn>
    <tableColumn id="3" xr3:uid="{5C7874AA-D1E2-48F4-BBF9-E2708833C87E}" name="Monthly Change" dataDxfId="648">
      <calculatedColumnFormula>'Data Entry'!AB16</calculatedColumnFormula>
    </tableColumn>
  </tableColumns>
  <tableStyleInfo name="TableStyleLight13"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3D031C3-0050-4947-8039-3BC67F974599}" name="Table43642" displayName="Table43642" ref="B33:D35" totalsRowShown="0" headerRowDxfId="647" dataDxfId="646">
  <autoFilter ref="B33:D35" xr:uid="{A3D031C3-0050-4947-8039-3BC67F974599}"/>
  <tableColumns count="3">
    <tableColumn id="1" xr3:uid="{E9BD505A-77F0-4C9C-AFC9-8D5AFFAE06A8}" name="Metric" dataDxfId="645"/>
    <tableColumn id="2" xr3:uid="{4D38441C-948B-416E-B252-965BF4D4AE99}" name="Amount" dataDxfId="644">
      <calculatedColumnFormula>'Data Entry'!E26</calculatedColumnFormula>
    </tableColumn>
    <tableColumn id="3" xr3:uid="{B67EEA65-D81F-4442-AEFF-74157BB630BA}" name="Monthly Change" dataDxfId="643">
      <calculatedColumnFormula>'Data Entry'!AB26</calculatedColumnFormula>
    </tableColumn>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E3484F5-3393-4F01-975E-A76AAC5BD3B6}" name="Table53743" displayName="Table53743" ref="B38:D42" totalsRowShown="0" headerRowDxfId="642" dataDxfId="641">
  <autoFilter ref="B38:D42" xr:uid="{5E3484F5-3393-4F01-975E-A76AAC5BD3B6}"/>
  <tableColumns count="3">
    <tableColumn id="1" xr3:uid="{CF7584C1-DCDC-40A5-9AB6-31FEC697E8BC}" name="Metric" dataDxfId="640"/>
    <tableColumn id="2" xr3:uid="{9150D6B4-B771-4292-8BF7-F12372DC5DD2}" name="Amount" dataDxfId="639">
      <calculatedColumnFormula>'Data Entry'!E28</calculatedColumnFormula>
    </tableColumn>
    <tableColumn id="3" xr3:uid="{1BE06A0D-55FD-41CE-A761-5A538A139B3F}" name="Monthly Change" dataDxfId="638">
      <calculatedColumnFormula>'Data Entry'!AB28</calculatedColumnFormula>
    </tableColumn>
  </tableColumns>
  <tableStyleInfo name="TableStyleLight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87ED215-0D7A-492B-8F6D-9C939F69BA80}" name="Table63844" displayName="Table63844" ref="B45:D48" totalsRowShown="0" headerRowDxfId="637" dataDxfId="636">
  <autoFilter ref="B45:D48" xr:uid="{587ED215-0D7A-492B-8F6D-9C939F69BA80}"/>
  <tableColumns count="3">
    <tableColumn id="1" xr3:uid="{DB4B2F8F-8AC0-4534-A8E9-02358E5B5806}" name="Metric" dataDxfId="635"/>
    <tableColumn id="2" xr3:uid="{AF897757-F28F-40E6-A0C1-12ED7AA035E9}" name="Amount" dataDxfId="634">
      <calculatedColumnFormula>'Data Entry'!E32</calculatedColumnFormula>
    </tableColumn>
    <tableColumn id="3" xr3:uid="{1B28D137-0995-411A-86CE-22B0F373D074}" name="Monthly Change" dataDxfId="633">
      <calculatedColumnFormula>'Data Entry'!AB32</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65B62123-0DD9-4FC3-8B03-B68E0E82AA82}" name="Table13339128" displayName="Table13339128" ref="BF3:BH14" totalsRowShown="0" headerRowDxfId="632" dataDxfId="631">
  <autoFilter ref="BF3:BH14" xr:uid="{65B62123-0DD9-4FC3-8B03-B68E0E82AA82}"/>
  <tableColumns count="3">
    <tableColumn id="1" xr3:uid="{6C58B2F5-77A9-4097-AE19-B0F8CFB95E02}" name="Metric" dataDxfId="630"/>
    <tableColumn id="2" xr3:uid="{1E827FD5-612A-457A-8341-8D72C0BE348C}" name="Amount" dataDxfId="629">
      <calculatedColumnFormula>'Data Entry'!L5</calculatedColumnFormula>
    </tableColumn>
    <tableColumn id="3" xr3:uid="{4AE49715-91BC-4D63-ABDD-5CAE456C16CD}" name="Monthly Change" dataDxfId="628">
      <calculatedColumnFormula>'Data Entry'!AI5</calculatedColumnFormula>
    </tableColumn>
  </tableColumns>
  <tableStyleInfo name="TableStyleMedium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BA98ABE-6F1E-4696-8292-404FBC071DC7}" name="Table23440129" displayName="Table23440129" ref="BF26:BH30" totalsRowShown="0" headerRowDxfId="627" dataDxfId="626">
  <autoFilter ref="BF26:BH30" xr:uid="{0BA98ABE-6F1E-4696-8292-404FBC071DC7}"/>
  <tableColumns count="3">
    <tableColumn id="1" xr3:uid="{CC7B32C8-3374-4C88-A75B-D3517BA6AE30}" name="Metric" dataDxfId="625"/>
    <tableColumn id="2" xr3:uid="{E06B39CE-2B75-443B-847E-45F036044AB3}" name="Amount" dataDxfId="624">
      <calculatedColumnFormula>'Data Entry'!L22</calculatedColumnFormula>
    </tableColumn>
    <tableColumn id="3" xr3:uid="{81B5CAA8-6AF2-4137-92B9-4040F5CB2545}" name="Monthly Change" dataDxfId="623">
      <calculatedColumnFormula>'Data Entry'!AI22</calculatedColumnFormula>
    </tableColumn>
  </tableColumns>
  <tableStyleInfo name="TableStyleMedium6"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C95056-CFFE-4EB7-A4C7-B4F865809CE8}" name="Table33541130" displayName="Table33541130" ref="BF17:BH23" totalsRowShown="0" headerRowDxfId="622" dataDxfId="621">
  <autoFilter ref="BF17:BH23" xr:uid="{40C95056-CFFE-4EB7-A4C7-B4F865809CE8}"/>
  <tableColumns count="3">
    <tableColumn id="1" xr3:uid="{92C1D803-14BC-4F40-92F0-F462FB3E77B7}" name="Metric" dataDxfId="620"/>
    <tableColumn id="2" xr3:uid="{7F7213E1-70E1-494A-94F3-EB762EDBCBFF}" name="Amount" dataDxfId="619">
      <calculatedColumnFormula>'Data Entry'!L16</calculatedColumnFormula>
    </tableColumn>
    <tableColumn id="3" xr3:uid="{6B7A65B8-C73B-42C3-93DE-69BD198158AF}" name="Monthly Change" dataDxfId="618">
      <calculatedColumnFormula>'Data Entry'!AI16</calculatedColumnFormula>
    </tableColumn>
  </tableColumns>
  <tableStyleInfo name="TableStyleLight13"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611B3C7-C72E-421A-BF47-556E13FC4382}" name="Table43642131" displayName="Table43642131" ref="BF33:BH35" totalsRowShown="0" headerRowDxfId="617" dataDxfId="616">
  <autoFilter ref="BF33:BH35" xr:uid="{D611B3C7-C72E-421A-BF47-556E13FC4382}"/>
  <tableColumns count="3">
    <tableColumn id="1" xr3:uid="{461818D0-BA14-449E-904D-CB470C9E2558}" name="Metric" dataDxfId="615"/>
    <tableColumn id="2" xr3:uid="{FC7B4090-E989-426E-A9B2-22644CE93651}" name="Amount" dataDxfId="614">
      <calculatedColumnFormula>'Data Entry'!L26</calculatedColumnFormula>
    </tableColumn>
    <tableColumn id="3" xr3:uid="{ACB6DAE7-8FE4-4346-B29A-31A4E399B1F9}" name="Monthly Change" dataDxfId="613">
      <calculatedColumnFormula>'Data Entry'!AI26</calculatedColumnFormula>
    </tableColumn>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BE46DE3E-5A39-4E4D-A7DB-37E9E48D6772}" name="Table53743132" displayName="Table53743132" ref="BF38:BH42" totalsRowShown="0" headerRowDxfId="612" dataDxfId="611">
  <autoFilter ref="BF38:BH42" xr:uid="{BE46DE3E-5A39-4E4D-A7DB-37E9E48D6772}"/>
  <tableColumns count="3">
    <tableColumn id="1" xr3:uid="{FED0FACC-457B-4EBD-B9DB-2A46AA2F3424}" name="Metric" dataDxfId="610"/>
    <tableColumn id="2" xr3:uid="{70D9F4A0-D58F-42E9-B71E-86E153E1539F}" name="Amount" dataDxfId="609">
      <calculatedColumnFormula>'Data Entry'!L28</calculatedColumnFormula>
    </tableColumn>
    <tableColumn id="3" xr3:uid="{F8B49239-BA31-4E6A-B9F6-E58E4AAD9464}" name="Monthly Change" dataDxfId="608">
      <calculatedColumnFormula>'Data Entry'!AI28</calculatedColumnFormula>
    </tableColumn>
  </tableColumns>
  <tableStyleInfo name="TableStyleLight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B9469458-463F-4F34-96B7-23F228B384CD}" name="Table63844133" displayName="Table63844133" ref="BF45:BH48" totalsRowShown="0" headerRowDxfId="607" dataDxfId="606">
  <autoFilter ref="BF45:BH48" xr:uid="{B9469458-463F-4F34-96B7-23F228B384CD}"/>
  <tableColumns count="3">
    <tableColumn id="1" xr3:uid="{54385EF8-337E-4483-AF01-7FB01E18780C}" name="Metric" dataDxfId="605"/>
    <tableColumn id="2" xr3:uid="{B32EB4E6-B149-49C0-B977-22872067A6B3}" name="Amount" dataDxfId="604">
      <calculatedColumnFormula>'Data Entry'!L32</calculatedColumnFormula>
    </tableColumn>
    <tableColumn id="3" xr3:uid="{83F18DD7-DCC8-4DEE-B2D2-AE06A492DFE4}" name="Monthly Change" dataDxfId="603">
      <calculatedColumnFormula>'Data Entry'!AI32</calculatedColumnFormula>
    </tableColumn>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2D9F5F9E-788F-4E9B-8641-AA7CE149D163}" name="Table13339128146" displayName="Table13339128146" ref="BN3:BP14" totalsRowShown="0" headerRowDxfId="602" dataDxfId="601">
  <autoFilter ref="BN3:BP14" xr:uid="{2D9F5F9E-788F-4E9B-8641-AA7CE149D163}"/>
  <tableColumns count="3">
    <tableColumn id="1" xr3:uid="{C9EA19E3-1775-4DAA-9DA8-866EF50F2006}" name="Metric" dataDxfId="600"/>
    <tableColumn id="2" xr3:uid="{0EEE2870-5AD5-4E2E-A709-A1A689594EA6}" name="Amount" dataDxfId="599">
      <calculatedColumnFormula>'Data Entry'!M5</calculatedColumnFormula>
    </tableColumn>
    <tableColumn id="3" xr3:uid="{75A1F174-DF78-4732-B59F-8CF159EA2F8A}" name="Monthly Change" dataDxfId="598">
      <calculatedColumnFormula>'Data Entry'!AJ5</calculatedColumnFormula>
    </tableColumn>
  </tableColumns>
  <tableStyleInfo name="TableStyleMedium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A8679DA-0F65-4C07-80E0-645282E593BA}" name="Table23440129147" displayName="Table23440129147" ref="BN26:BP30" totalsRowShown="0" headerRowDxfId="597" dataDxfId="596">
  <autoFilter ref="BN26:BP30" xr:uid="{0A8679DA-0F65-4C07-80E0-645282E593BA}"/>
  <tableColumns count="3">
    <tableColumn id="1" xr3:uid="{1076972B-DB91-4870-8BCA-B30D8AE6F010}" name="Metric" dataDxfId="595"/>
    <tableColumn id="2" xr3:uid="{FB5760A4-7124-4999-89CF-98E32C7BC29B}" name="Amount" dataDxfId="594">
      <calculatedColumnFormula>'Data Entry'!M22</calculatedColumnFormula>
    </tableColumn>
    <tableColumn id="3" xr3:uid="{FD3AA2B6-D16B-40FD-BDBF-66BC257C3946}" name="Monthly Change" dataDxfId="593">
      <calculatedColumnFormula>'Data Entry'!AJ22</calculatedColumnFormula>
    </tableColumn>
  </tableColumns>
  <tableStyleInfo name="TableStyleMedium6"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E90EFA9E-CFEB-4A39-BE35-443FF9F176D2}" name="Table33541130148" displayName="Table33541130148" ref="BN17:BP23" totalsRowShown="0" headerRowDxfId="592" dataDxfId="591">
  <autoFilter ref="BN17:BP23" xr:uid="{E90EFA9E-CFEB-4A39-BE35-443FF9F176D2}"/>
  <tableColumns count="3">
    <tableColumn id="1" xr3:uid="{6569641D-F14E-48B2-B9F5-BE6B244DB9D5}" name="Metric" dataDxfId="590"/>
    <tableColumn id="2" xr3:uid="{E0220C31-44F6-47C5-A1A0-0FEFBF19676D}" name="Amount" dataDxfId="589">
      <calculatedColumnFormula>'Data Entry'!M16</calculatedColumnFormula>
    </tableColumn>
    <tableColumn id="3" xr3:uid="{8903B689-5AB3-470C-A495-271F90350F41}" name="Monthly Change" dataDxfId="588">
      <calculatedColumnFormula>'Data Entry'!AJ16</calculatedColumnFormula>
    </tableColumn>
  </tableColumns>
  <tableStyleInfo name="TableStyleLight1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2073E666-72A2-4411-8B22-C40F2A801C35}" name="Table43642131149" displayName="Table43642131149" ref="BN33:BP35" totalsRowShown="0" headerRowDxfId="587" dataDxfId="586">
  <autoFilter ref="BN33:BP35" xr:uid="{2073E666-72A2-4411-8B22-C40F2A801C35}"/>
  <tableColumns count="3">
    <tableColumn id="1" xr3:uid="{F51907F6-5AB7-467A-ADEF-1CD22D86FDB4}" name="Metric" dataDxfId="585"/>
    <tableColumn id="2" xr3:uid="{B5A6748B-659D-4B49-9ACC-7F53274ECC15}" name="Amount" dataDxfId="584">
      <calculatedColumnFormula>'Data Entry'!M26</calculatedColumnFormula>
    </tableColumn>
    <tableColumn id="3" xr3:uid="{685D3C2A-2636-4C39-B32A-FE4760ECA07A}" name="Monthly Change" dataDxfId="583">
      <calculatedColumnFormula>'Data Entry'!AJ26</calculatedColumnFormula>
    </tableColumn>
  </tableColumns>
  <tableStyleInfo name="TableStyleMedium9"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3E9A3AC4-D69C-43D0-891B-D2E3D93A5F1F}" name="Table53743132150" displayName="Table53743132150" ref="BN38:BP42" totalsRowShown="0" headerRowDxfId="582" dataDxfId="581">
  <autoFilter ref="BN38:BP42" xr:uid="{3E9A3AC4-D69C-43D0-891B-D2E3D93A5F1F}"/>
  <tableColumns count="3">
    <tableColumn id="1" xr3:uid="{65AF1F39-DC8C-45B8-9874-DEB999887896}" name="Metric" dataDxfId="580"/>
    <tableColumn id="2" xr3:uid="{B144485A-E621-4232-9FCB-C8950464E70D}" name="Amount" dataDxfId="579">
      <calculatedColumnFormula>'Data Entry'!M28</calculatedColumnFormula>
    </tableColumn>
    <tableColumn id="3" xr3:uid="{E0FABFDF-4785-4E09-A25E-9283070E46C1}" name="Monthly Change" dataDxfId="578">
      <calculatedColumnFormula>'Data Entry'!AJ28</calculatedColumnFormula>
    </tableColumn>
  </tableColumns>
  <tableStyleInfo name="TableStyleLight9"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D24FDBD-8BC9-4690-9158-B236512AC4B3}" name="Table63844133151" displayName="Table63844133151" ref="BN45:BP48" totalsRowShown="0" headerRowDxfId="577" dataDxfId="576">
  <autoFilter ref="BN45:BP48" xr:uid="{0D24FDBD-8BC9-4690-9158-B236512AC4B3}"/>
  <tableColumns count="3">
    <tableColumn id="1" xr3:uid="{EA806FBE-4DBE-4ECE-8827-4E6E094BD3A9}" name="Metric" dataDxfId="575"/>
    <tableColumn id="2" xr3:uid="{7121FFA2-F995-492F-9CEF-49D4AB874D41}" name="Amount" dataDxfId="574">
      <calculatedColumnFormula>'Data Entry'!M32</calculatedColumnFormula>
    </tableColumn>
    <tableColumn id="3" xr3:uid="{8F4FA509-5811-4F52-9EB8-E99065E4225F}" name="Monthly Change" dataDxfId="573">
      <calculatedColumnFormula>'Data Entry'!AJ32</calculatedColumnFormula>
    </tableColumn>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08B1AC34-3EA1-4989-BE2F-7E1E020DD2A4}" name="Table13339128146224" displayName="Table13339128146224" ref="BU3:BW14" totalsRowShown="0" headerRowDxfId="572" dataDxfId="571">
  <autoFilter ref="BU3:BW14" xr:uid="{08B1AC34-3EA1-4989-BE2F-7E1E020DD2A4}"/>
  <tableColumns count="3">
    <tableColumn id="1" xr3:uid="{B4DD35D2-E258-44D4-806B-F6CAD6642DC7}" name="Metric" dataDxfId="570"/>
    <tableColumn id="2" xr3:uid="{620C23A6-A339-42E6-8792-2C5615A61ADB}" name="Amount" dataDxfId="569">
      <calculatedColumnFormula>'Data Entry'!N5</calculatedColumnFormula>
    </tableColumn>
    <tableColumn id="3" xr3:uid="{C8CF5050-A014-43CE-A301-BB77F238965D}" name="Monthly Change" dataDxfId="568">
      <calculatedColumnFormula>'Data Entry'!AK5</calculatedColumnFormula>
    </tableColumn>
  </tableColumns>
  <tableStyleInfo name="TableStyleMedium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4DFB3C50-32FF-42FD-9F9D-4E987F70AC46}" name="Table23440129147225" displayName="Table23440129147225" ref="BU26:BW30" totalsRowShown="0" headerRowDxfId="567" dataDxfId="566">
  <autoFilter ref="BU26:BW30" xr:uid="{4DFB3C50-32FF-42FD-9F9D-4E987F70AC46}"/>
  <tableColumns count="3">
    <tableColumn id="1" xr3:uid="{5DF57D6D-E3AB-47C8-92BF-B461BCD11AE4}" name="Metric" dataDxfId="565"/>
    <tableColumn id="2" xr3:uid="{3C91329F-68E9-4925-A867-7E062D4444BE}" name="Amount" dataDxfId="564">
      <calculatedColumnFormula>'Data Entry'!N22</calculatedColumnFormula>
    </tableColumn>
    <tableColumn id="3" xr3:uid="{00EC28EF-768F-42B6-884B-9AC0D8661F7C}" name="Monthly Change" dataDxfId="563">
      <calculatedColumnFormula>'Data Entry'!AK22</calculatedColumnFormula>
    </tableColumn>
  </tableColumns>
  <tableStyleInfo name="TableStyleMedium6"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1D8D44A1-7071-4E5F-A5DE-759701C84003}" name="Table33541130148226" displayName="Table33541130148226" ref="BU17:BW23" totalsRowShown="0" headerRowDxfId="562" dataDxfId="561">
  <autoFilter ref="BU17:BW23" xr:uid="{1D8D44A1-7071-4E5F-A5DE-759701C84003}"/>
  <tableColumns count="3">
    <tableColumn id="1" xr3:uid="{AB5B40C9-73E3-4321-B568-3DF3C1873A82}" name="Metric" dataDxfId="560"/>
    <tableColumn id="2" xr3:uid="{A5F10A3D-F802-41A4-9836-1219338DAC45}" name="Amount" dataDxfId="559">
      <calculatedColumnFormula>'Data Entry'!N16</calculatedColumnFormula>
    </tableColumn>
    <tableColumn id="3" xr3:uid="{FF97D3A1-86F4-4A16-99E6-2EBF68A5EF03}" name="Monthly Change" dataDxfId="558">
      <calculatedColumnFormula>'Data Entry'!AK16</calculatedColumnFormula>
    </tableColumn>
  </tableColumns>
  <tableStyleInfo name="TableStyleLight13"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AB8B1E68-F653-4DD4-9AA9-7E92BEA9F8D6}" name="Table43642131149227" displayName="Table43642131149227" ref="BU33:BW35" totalsRowShown="0" headerRowDxfId="557" dataDxfId="556">
  <autoFilter ref="BU33:BW35" xr:uid="{AB8B1E68-F653-4DD4-9AA9-7E92BEA9F8D6}"/>
  <tableColumns count="3">
    <tableColumn id="1" xr3:uid="{F0FC7316-91BE-4B68-98C4-B19728747EEC}" name="Metric" dataDxfId="555"/>
    <tableColumn id="2" xr3:uid="{4CC3AAA0-939F-46EB-81D6-2361EFA31EA2}" name="Amount" dataDxfId="554">
      <calculatedColumnFormula>'Data Entry'!N26</calculatedColumnFormula>
    </tableColumn>
    <tableColumn id="3" xr3:uid="{1E111831-E618-445D-9CA4-F96D41E655AA}" name="Monthly Change" dataDxfId="553">
      <calculatedColumnFormula>'Data Entry'!AK26</calculatedColumnFormula>
    </tableColumn>
  </tableColumns>
  <tableStyleInfo name="TableStyleMedium9"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DD772D35-4268-4F05-95D0-EE4F66486577}" name="Table53743132150228" displayName="Table53743132150228" ref="BU38:BW42" totalsRowShown="0" headerRowDxfId="552" dataDxfId="551">
  <autoFilter ref="BU38:BW42" xr:uid="{DD772D35-4268-4F05-95D0-EE4F66486577}"/>
  <tableColumns count="3">
    <tableColumn id="1" xr3:uid="{814581CA-E82E-4A3D-9EA4-B209CEB09D70}" name="Metric" dataDxfId="550"/>
    <tableColumn id="2" xr3:uid="{69B9F5CA-350C-4C76-8E47-24C0779FB636}" name="Amount" dataDxfId="549">
      <calculatedColumnFormula>'Data Entry'!N28</calculatedColumnFormula>
    </tableColumn>
    <tableColumn id="3" xr3:uid="{91B2F34A-E122-44E9-971F-C3DC399C6867}" name="Monthly Change" dataDxfId="548">
      <calculatedColumnFormula>'Data Entry'!AK28</calculatedColumnFormula>
    </tableColumn>
  </tableColumns>
  <tableStyleInfo name="TableStyleLight9"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04AEC588-E690-4C25-BDFF-55A56D69B190}" name="Table63844133151229" displayName="Table63844133151229" ref="BU45:BW48" totalsRowShown="0" headerRowDxfId="547" dataDxfId="546">
  <autoFilter ref="BU45:BW48" xr:uid="{04AEC588-E690-4C25-BDFF-55A56D69B190}"/>
  <tableColumns count="3">
    <tableColumn id="1" xr3:uid="{B0E4A860-567D-4BBF-AB72-7CF0B9CF122C}" name="Metric" dataDxfId="545"/>
    <tableColumn id="2" xr3:uid="{ADDDE74E-9BA2-4027-B10C-B2095C966421}" name="Amount" dataDxfId="544">
      <calculatedColumnFormula>'Data Entry'!N32</calculatedColumnFormula>
    </tableColumn>
    <tableColumn id="3" xr3:uid="{B231C997-8CA9-48DF-A5DF-57B547E18899}" name="Monthly Change" dataDxfId="543">
      <calculatedColumnFormula>'Data Entry'!AK32</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9C9CF14B-14E7-4A05-B9A3-6C2B346F5D95}" name="Table13339128146224230" displayName="Table13339128146224230" ref="CC3:CE14" totalsRowShown="0" headerRowDxfId="542" dataDxfId="541">
  <autoFilter ref="CC3:CE14" xr:uid="{9C9CF14B-14E7-4A05-B9A3-6C2B346F5D95}"/>
  <tableColumns count="3">
    <tableColumn id="1" xr3:uid="{1C94F544-A81D-436C-BFD4-6A59988ACED3}" name="Metric" dataDxfId="540"/>
    <tableColumn id="2" xr3:uid="{7D184FA2-15E8-4546-82F7-F85B9C06518B}" name="Amount" dataDxfId="539">
      <calculatedColumnFormula>'Data Entry'!O5</calculatedColumnFormula>
    </tableColumn>
    <tableColumn id="3" xr3:uid="{894A1F9F-8F98-47AC-8D14-DE4339AD0C58}" name="Monthly Change" dataDxfId="538">
      <calculatedColumnFormula>'Data Entry'!AL5</calculatedColumnFormula>
    </tableColumn>
  </tableColumns>
  <tableStyleInfo name="TableStyleMedium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347E9DDF-D085-451F-B7A0-0DA047620EF1}" name="Table23440129147225231" displayName="Table23440129147225231" ref="CC26:CE30" totalsRowShown="0" headerRowDxfId="537" dataDxfId="536">
  <autoFilter ref="CC26:CE30" xr:uid="{347E9DDF-D085-451F-B7A0-0DA047620EF1}"/>
  <tableColumns count="3">
    <tableColumn id="1" xr3:uid="{1E0D6E6E-1AC4-4CB0-9526-397DF1F8644E}" name="Metric" dataDxfId="535"/>
    <tableColumn id="2" xr3:uid="{9CD2B8BB-15B0-4E42-8465-EB78BAACD13F}" name="Amount" dataDxfId="534">
      <calculatedColumnFormula>'Data Entry'!O22</calculatedColumnFormula>
    </tableColumn>
    <tableColumn id="3" xr3:uid="{5960893D-0D46-49C7-8500-9B687E4A60DD}" name="Monthly Change" dataDxfId="533">
      <calculatedColumnFormula>'Data Entry'!AL22</calculatedColumnFormula>
    </tableColumn>
  </tableColumns>
  <tableStyleInfo name="TableStyleMedium6"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2F337E16-1E8A-44D0-813C-DE14FCA280CA}" name="Table33541130148226232" displayName="Table33541130148226232" ref="CC17:CE23" totalsRowShown="0" headerRowDxfId="532" dataDxfId="531">
  <autoFilter ref="CC17:CE23" xr:uid="{2F337E16-1E8A-44D0-813C-DE14FCA280CA}"/>
  <tableColumns count="3">
    <tableColumn id="1" xr3:uid="{ED9EEB86-F2DC-411A-9B43-F8057E282809}" name="Metric" dataDxfId="530"/>
    <tableColumn id="2" xr3:uid="{43228117-DA1F-4295-8D49-927435E411F6}" name="Amount" dataDxfId="529">
      <calculatedColumnFormula>'Data Entry'!O16</calculatedColumnFormula>
    </tableColumn>
    <tableColumn id="3" xr3:uid="{91BED330-5756-406F-9CC1-3FDF62D2808E}" name="Monthly Change" dataDxfId="528">
      <calculatedColumnFormula>'Data Entry'!AL16</calculatedColumnFormula>
    </tableColumn>
  </tableColumns>
  <tableStyleInfo name="TableStyleLight13"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CC11999A-8FDA-4502-99FD-FADD74B18C63}" name="Table43642131149227233" displayName="Table43642131149227233" ref="CC33:CE35" totalsRowShown="0" headerRowDxfId="527" dataDxfId="526">
  <autoFilter ref="CC33:CE35" xr:uid="{CC11999A-8FDA-4502-99FD-FADD74B18C63}"/>
  <tableColumns count="3">
    <tableColumn id="1" xr3:uid="{F6377BE7-A8FA-4F0D-B935-9B0248353297}" name="Metric" dataDxfId="525"/>
    <tableColumn id="2" xr3:uid="{57A982B9-9447-4F9D-8FCD-687917BF1E3A}" name="Amount" dataDxfId="524">
      <calculatedColumnFormula>'Data Entry'!O26</calculatedColumnFormula>
    </tableColumn>
    <tableColumn id="3" xr3:uid="{27213857-4E47-49C9-B49C-F0545091EAC6}" name="Monthly Change" dataDxfId="523">
      <calculatedColumnFormula>'Data Entry'!AL26</calculatedColumnFormula>
    </tableColumn>
  </tableColumns>
  <tableStyleInfo name="TableStyleMedium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19791AC9-3467-4DA6-A1C4-5485D7DDA87F}" name="Table53743132150228234" displayName="Table53743132150228234" ref="CC38:CE42" totalsRowShown="0" headerRowDxfId="522" dataDxfId="521">
  <autoFilter ref="CC38:CE42" xr:uid="{19791AC9-3467-4DA6-A1C4-5485D7DDA87F}"/>
  <tableColumns count="3">
    <tableColumn id="1" xr3:uid="{BF317CA6-B609-40D2-AE2C-54E6D52A4F7B}" name="Metric" dataDxfId="520"/>
    <tableColumn id="2" xr3:uid="{18463C62-0F96-4918-A7A6-9A8581AC1A05}" name="Amount" dataDxfId="519">
      <calculatedColumnFormula>'Data Entry'!O28</calculatedColumnFormula>
    </tableColumn>
    <tableColumn id="3" xr3:uid="{5F569ED5-728A-4494-BC8B-83E34171E751}" name="Monthly Change" dataDxfId="518">
      <calculatedColumnFormula>'Data Entry'!AL28</calculatedColumnFormula>
    </tableColumn>
  </tableColumns>
  <tableStyleInfo name="TableStyleLight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1DA70944-EA8F-4434-AC02-55A373C8C6C3}" name="Table63844133151229235" displayName="Table63844133151229235" ref="CC45:CE48" totalsRowShown="0" headerRowDxfId="517" dataDxfId="516">
  <autoFilter ref="CC45:CE48" xr:uid="{1DA70944-EA8F-4434-AC02-55A373C8C6C3}"/>
  <tableColumns count="3">
    <tableColumn id="1" xr3:uid="{B2F192FB-D539-47D1-ABF3-B681B63E6846}" name="Metric" dataDxfId="515"/>
    <tableColumn id="2" xr3:uid="{F3CAF492-7601-4771-A607-651ECBE12BC8}" name="Amount" dataDxfId="514">
      <calculatedColumnFormula>'Data Entry'!O32</calculatedColumnFormula>
    </tableColumn>
    <tableColumn id="3" xr3:uid="{BD06856B-42C5-415B-9512-0C0786EFC5E1}" name="Monthly Change" dataDxfId="513">
      <calculatedColumnFormula>'Data Entry'!AL32</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21BCFFFD-7DCD-46AB-90D9-173DC65BEC0E}" name="Table13339128146224230236" displayName="Table13339128146224230236" ref="CK3:CM14" totalsRowShown="0" headerRowDxfId="512" dataDxfId="511">
  <autoFilter ref="CK3:CM14" xr:uid="{21BCFFFD-7DCD-46AB-90D9-173DC65BEC0E}"/>
  <tableColumns count="3">
    <tableColumn id="1" xr3:uid="{1A5E1376-043A-4B4D-A0F7-2E8B97D0827C}" name="Metric" dataDxfId="510"/>
    <tableColumn id="2" xr3:uid="{142D21F6-12FC-493F-AFD0-95F4849FFBE3}" name="Amount" dataDxfId="509">
      <calculatedColumnFormula>'Data Entry'!P5</calculatedColumnFormula>
    </tableColumn>
    <tableColumn id="3" xr3:uid="{4237D24F-E285-4CB3-93E0-BE92B2FC6ED9}" name="Monthly Change" dataDxfId="508">
      <calculatedColumnFormula>'Data Entry'!AM5</calculatedColumnFormula>
    </tableColumn>
  </tableColumns>
  <tableStyleInfo name="TableStyleMedium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A22A994A-89E1-459A-AA78-DEBF36E687DC}" name="Table23440129147225231237" displayName="Table23440129147225231237" ref="CK26:CM30" totalsRowShown="0" headerRowDxfId="507" dataDxfId="506">
  <autoFilter ref="CK26:CM30" xr:uid="{A22A994A-89E1-459A-AA78-DEBF36E687DC}"/>
  <tableColumns count="3">
    <tableColumn id="1" xr3:uid="{360E0BA6-9301-4AEF-9739-13628B24711D}" name="Metric" dataDxfId="505"/>
    <tableColumn id="2" xr3:uid="{4E795526-11FB-450A-A715-9B6A0640E04A}" name="Amount" dataDxfId="504">
      <calculatedColumnFormula>'Data Entry'!P22</calculatedColumnFormula>
    </tableColumn>
    <tableColumn id="3" xr3:uid="{072ED60C-0EFD-4A41-A54C-D52A918B70FF}" name="Monthly Change" dataDxfId="503">
      <calculatedColumnFormula>'Data Entry'!AM22</calculatedColumnFormula>
    </tableColumn>
  </tableColumns>
  <tableStyleInfo name="TableStyleMedium6"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4E049095-A045-49F0-A4FB-5F7DCAF1BFD1}" name="Table33541130148226232238" displayName="Table33541130148226232238" ref="CK17:CM23" totalsRowShown="0" headerRowDxfId="502" dataDxfId="501">
  <autoFilter ref="CK17:CM23" xr:uid="{4E049095-A045-49F0-A4FB-5F7DCAF1BFD1}"/>
  <tableColumns count="3">
    <tableColumn id="1" xr3:uid="{11583983-7E85-456A-A155-4FC812AEA5BA}" name="Metric" dataDxfId="500"/>
    <tableColumn id="2" xr3:uid="{821FDA18-F913-4FE7-A5BF-8CE9A2405690}" name="Amount" dataDxfId="499">
      <calculatedColumnFormula>'Data Entry'!P16</calculatedColumnFormula>
    </tableColumn>
    <tableColumn id="3" xr3:uid="{CEC4E386-6FB1-41EC-9B9D-C54CC54D72BF}" name="Monthly Change" dataDxfId="498">
      <calculatedColumnFormula>'Data Entry'!AM16</calculatedColumnFormula>
    </tableColumn>
  </tableColumns>
  <tableStyleInfo name="TableStyleLight13"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160DB07E-7259-4571-BEF1-E6DB9BCD24BE}" name="Table43642131149227233239" displayName="Table43642131149227233239" ref="CK33:CM35" totalsRowShown="0" headerRowDxfId="497" dataDxfId="496">
  <autoFilter ref="CK33:CM35" xr:uid="{160DB07E-7259-4571-BEF1-E6DB9BCD24BE}"/>
  <tableColumns count="3">
    <tableColumn id="1" xr3:uid="{C29CBFA8-7EC8-45C8-8354-D83C065B29C1}" name="Metric" dataDxfId="495"/>
    <tableColumn id="2" xr3:uid="{C1766C2E-4CDB-4F21-84FA-70C8855F5790}" name="Amount" dataDxfId="494">
      <calculatedColumnFormula>'Data Entry'!P26</calculatedColumnFormula>
    </tableColumn>
    <tableColumn id="3" xr3:uid="{49962478-8291-4815-9DBF-B3480311BE70}" name="Monthly Change" dataDxfId="493">
      <calculatedColumnFormula>'Data Entry'!AM26</calculatedColumnFormula>
    </tableColumn>
  </tableColumns>
  <tableStyleInfo name="TableStyleMedium9"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206D9F3D-D2A6-419F-B731-44342367113D}" name="Table53743132150228234240" displayName="Table53743132150228234240" ref="CK38:CM42" totalsRowShown="0" headerRowDxfId="492" dataDxfId="491">
  <autoFilter ref="CK38:CM42" xr:uid="{206D9F3D-D2A6-419F-B731-44342367113D}"/>
  <tableColumns count="3">
    <tableColumn id="1" xr3:uid="{FC4061C7-07B5-457E-96D0-3BF5C6FF1D83}" name="Metric" dataDxfId="490"/>
    <tableColumn id="2" xr3:uid="{69816835-3546-4635-A61F-9E38609C56B6}" name="Amount" dataDxfId="489">
      <calculatedColumnFormula>'Data Entry'!P28</calculatedColumnFormula>
    </tableColumn>
    <tableColumn id="3" xr3:uid="{82486FD3-2B64-4F30-B7AE-FDAF25AA9DF7}" name="Monthly Change" dataDxfId="488">
      <calculatedColumnFormula>'Data Entry'!AM28</calculatedColumnFormula>
    </tableColumn>
  </tableColumns>
  <tableStyleInfo name="TableStyleLight9"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1BA8D776-5153-4BC9-891E-E20E9AA5F432}" name="Table63844133151229235241" displayName="Table63844133151229235241" ref="CK45:CM48" totalsRowShown="0" headerRowDxfId="487" dataDxfId="486">
  <autoFilter ref="CK45:CM48" xr:uid="{1BA8D776-5153-4BC9-891E-E20E9AA5F432}"/>
  <tableColumns count="3">
    <tableColumn id="1" xr3:uid="{50C541D4-C60C-4A6A-B03E-37806426B32B}" name="Metric" dataDxfId="485"/>
    <tableColumn id="2" xr3:uid="{E08930B3-9D46-4FD0-B0BB-4CB447A314F6}" name="Amount" dataDxfId="484">
      <calculatedColumnFormula>'Data Entry'!P32</calculatedColumnFormula>
    </tableColumn>
    <tableColumn id="3" xr3:uid="{323759DF-9BEA-4401-B9C9-369F4AF6B7F9}" name="Monthly Change" dataDxfId="483">
      <calculatedColumnFormula>'Data Entry'!AM32</calculatedColumnFormula>
    </tableColumn>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63367714-6963-4772-A3D5-A72F13A77FC8}" name="Table13339128146224230236242" displayName="Table13339128146224230236242" ref="CS3:CU14" totalsRowShown="0" headerRowDxfId="482" dataDxfId="481">
  <autoFilter ref="CS3:CU14" xr:uid="{63367714-6963-4772-A3D5-A72F13A77FC8}"/>
  <tableColumns count="3">
    <tableColumn id="1" xr3:uid="{5D03DDB4-D560-44FC-A776-3D3AF28BAEC4}" name="Metric" dataDxfId="480"/>
    <tableColumn id="2" xr3:uid="{4CB17C17-6505-4669-A1EC-2BD689B5A69D}" name="Amount" dataDxfId="479">
      <calculatedColumnFormula>'Data Entry'!Q5</calculatedColumnFormula>
    </tableColumn>
    <tableColumn id="3" xr3:uid="{BB4C91BB-81F9-4C07-AF02-4E2F92A9F93B}" name="Monthly Change" dataDxfId="478">
      <calculatedColumnFormula>'Data Entry'!AN5</calculatedColumnFormula>
    </tableColumn>
  </tableColumns>
  <tableStyleInfo name="TableStyleMedium1"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FBE9D6D0-4892-4874-812A-CE1622379696}" name="Table23440129147225231237243" displayName="Table23440129147225231237243" ref="CS26:CU30" totalsRowShown="0" headerRowDxfId="477" dataDxfId="476">
  <autoFilter ref="CS26:CU30" xr:uid="{FBE9D6D0-4892-4874-812A-CE1622379696}"/>
  <tableColumns count="3">
    <tableColumn id="1" xr3:uid="{1C1C422A-8E69-45F2-8D47-24A104F742AB}" name="Metric" dataDxfId="475"/>
    <tableColumn id="2" xr3:uid="{32A0794B-96D1-4ECB-8F1B-0D510E98EC32}" name="Amount" dataDxfId="474">
      <calculatedColumnFormula>'Data Entry'!Q22</calculatedColumnFormula>
    </tableColumn>
    <tableColumn id="3" xr3:uid="{E32A28FB-3D18-4D06-9E5E-941D4C98691A}" name="Monthly Change" dataDxfId="473">
      <calculatedColumnFormula>'Data Entry'!AN22</calculatedColumnFormula>
    </tableColumn>
  </tableColumns>
  <tableStyleInfo name="TableStyleMedium6"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53F00B89-3F8F-48BB-85F7-94F68CB7A9AF}" name="Table33541130148226232238244" displayName="Table33541130148226232238244" ref="CS17:CU23" totalsRowShown="0" headerRowDxfId="472" dataDxfId="471">
  <autoFilter ref="CS17:CU23" xr:uid="{53F00B89-3F8F-48BB-85F7-94F68CB7A9AF}"/>
  <tableColumns count="3">
    <tableColumn id="1" xr3:uid="{9F943873-4817-4675-98BF-D26063B846E1}" name="Metric" dataDxfId="470"/>
    <tableColumn id="2" xr3:uid="{5E17197A-6544-4D8C-ABAC-BF772CA3D53B}" name="Amount" dataDxfId="469">
      <calculatedColumnFormula>'Data Entry'!Q16</calculatedColumnFormula>
    </tableColumn>
    <tableColumn id="3" xr3:uid="{3073F6B5-08CF-41E9-9484-3593EBC81337}" name="Monthly Change" dataDxfId="468">
      <calculatedColumnFormula>'Data Entry'!AN16</calculatedColumnFormula>
    </tableColumn>
  </tableColumns>
  <tableStyleInfo name="TableStyleLight13"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4" xr:uid="{853F0CD5-0D57-4313-BCDC-1DD4DDAD0B9F}" name="Table43642131149227233239245" displayName="Table43642131149227233239245" ref="CS33:CU35" totalsRowShown="0" headerRowDxfId="467" dataDxfId="466">
  <autoFilter ref="CS33:CU35" xr:uid="{853F0CD5-0D57-4313-BCDC-1DD4DDAD0B9F}"/>
  <tableColumns count="3">
    <tableColumn id="1" xr3:uid="{6B8F3D3C-54C7-436A-B3D5-7D32D5C04F3C}" name="Metric" dataDxfId="465"/>
    <tableColumn id="2" xr3:uid="{F2ADDF37-3786-4E6C-BE12-BE479BB73CC0}" name="Amount" dataDxfId="464">
      <calculatedColumnFormula>'Data Entry'!Q26</calculatedColumnFormula>
    </tableColumn>
    <tableColumn id="3" xr3:uid="{0AFC4F2E-3C82-42CA-9436-0644E3730EA0}" name="Monthly Change" dataDxfId="463">
      <calculatedColumnFormula>'Data Entry'!AN26</calculatedColumnFormula>
    </tableColumn>
  </tableColumns>
  <tableStyleInfo name="TableStyleMedium9"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5" xr:uid="{C54DED7C-EFCC-49BD-AC70-176E879B625B}" name="Table53743132150228234240246" displayName="Table53743132150228234240246" ref="CS38:CU42" totalsRowShown="0" headerRowDxfId="462" dataDxfId="461">
  <autoFilter ref="CS38:CU42" xr:uid="{C54DED7C-EFCC-49BD-AC70-176E879B625B}"/>
  <tableColumns count="3">
    <tableColumn id="1" xr3:uid="{83CE6594-99D5-4FFE-9042-4B6246E5CBAD}" name="Metric" dataDxfId="460"/>
    <tableColumn id="2" xr3:uid="{7FEDD6B9-9530-403B-9F32-983B13ECFE81}" name="Amount" dataDxfId="459">
      <calculatedColumnFormula>'Data Entry'!Q28</calculatedColumnFormula>
    </tableColumn>
    <tableColumn id="3" xr3:uid="{95E66F94-A109-4274-9F0B-16F158056740}" name="Monthly Change" dataDxfId="458">
      <calculatedColumnFormula>'Data Entry'!AN28</calculatedColumnFormula>
    </tableColumn>
  </tableColumns>
  <tableStyleInfo name="TableStyleLight9"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6" xr:uid="{F7311865-C5B9-4F73-BEB7-078C3559741C}" name="Table63844133151229235241247" displayName="Table63844133151229235241247" ref="CS45:CU48" totalsRowShown="0" headerRowDxfId="457" dataDxfId="456">
  <autoFilter ref="CS45:CU48" xr:uid="{F7311865-C5B9-4F73-BEB7-078C3559741C}"/>
  <tableColumns count="3">
    <tableColumn id="1" xr3:uid="{AF57547D-0D5B-4BFE-9587-3DC5D093AB69}" name="Metric" dataDxfId="455"/>
    <tableColumn id="2" xr3:uid="{51A03B37-12D4-4E70-8B19-67AB422A34AD}" name="Amount" dataDxfId="454">
      <calculatedColumnFormula>'Data Entry'!Q32</calculatedColumnFormula>
    </tableColumn>
    <tableColumn id="3" xr3:uid="{46A5A59F-B73E-4080-8C95-683A8E298CAB}" name="Monthly Change" dataDxfId="453">
      <calculatedColumnFormula>'Data Entry'!AN32</calculatedColumnFormula>
    </tableColumn>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52FC585-A6EC-4EC2-914B-C08A383553E4}" name="MensData__4" displayName="MensData__4" ref="A22:C442" tableType="queryTable" totalsRowShown="0" headerRowDxfId="440" dataDxfId="439">
  <autoFilter ref="A22:C442" xr:uid="{452FC585-A6EC-4EC2-914B-C08A383553E4}"/>
  <tableColumns count="3">
    <tableColumn id="1" xr3:uid="{97315959-8479-4289-AA18-73873F0D9C39}" uniqueName="1" name="Metric" queryTableFieldId="1" dataDxfId="438"/>
    <tableColumn id="2" xr3:uid="{1F936BBF-CA19-4FB2-9A62-42DA10474998}" uniqueName="2" name="Month" queryTableFieldId="2" dataDxfId="437"/>
    <tableColumn id="3" xr3:uid="{2F74A1ED-1EE1-4232-BCB0-8635C92B78D8}" uniqueName="3" name="Value" queryTableFieldId="3" dataDxfId="436"/>
  </tableColumns>
  <tableStyleInfo name="TableStyleMedium7"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8F15B1A-48A3-48B4-B988-B99B8EF70653}" name="WomData" displayName="WomData" ref="C4:Q34" totalsRowShown="0" headerRowDxfId="435" dataDxfId="434">
  <autoFilter ref="C4:Q34" xr:uid="{6B469EE6-7D72-4CFE-B34B-D9987B51FFD8}"/>
  <tableColumns count="15">
    <tableColumn id="1" xr3:uid="{A9AB6EA1-E7FF-479D-8475-163F9E205231}" name="Metric" dataDxfId="433"/>
    <tableColumn id="2" xr3:uid="{BB5050DB-887F-4398-8238-9D054F518572}" name="May-26" dataDxfId="432"/>
    <tableColumn id="3" xr3:uid="{B51110A9-1D79-4382-B431-5B657FFD67E9}" name="Jun-26" dataDxfId="431"/>
    <tableColumn id="4" xr3:uid="{AD3378EF-5227-44FA-B046-636E427BBA3B}" name="Jul-26" dataDxfId="430"/>
    <tableColumn id="5" xr3:uid="{93061AD8-BADF-4A44-AF38-7D9AB8CF055D}" name="Aug-26" dataDxfId="429"/>
    <tableColumn id="6" xr3:uid="{7DDDE8C9-0ED6-401F-82FC-C6762DEE565D}" name="Sep-26" dataDxfId="428"/>
    <tableColumn id="7" xr3:uid="{6C781250-430C-47A4-9DA6-ADAA25910091}" name="Oct-26" dataDxfId="427"/>
    <tableColumn id="8" xr3:uid="{2EA6869E-4ED1-407C-A4F9-5119FDC128B2}" name="Nov-26" dataDxfId="426"/>
    <tableColumn id="9" xr3:uid="{526F5D79-199A-4FA2-9165-D6686ADAA8F7}" name="Dec-26" dataDxfId="425"/>
    <tableColumn id="10" xr3:uid="{A78747EC-8DB1-43B2-85DD-A7D303DA97E0}" name="Jan-27" dataDxfId="424"/>
    <tableColumn id="11" xr3:uid="{5C1A1DA4-962E-4E8E-BC5E-AA1756C6D183}" name="Feb-27" dataDxfId="423"/>
    <tableColumn id="12" xr3:uid="{AB0EBD90-73FA-4007-8203-989EDFFB11F6}" name="Mar-27" dataDxfId="422"/>
    <tableColumn id="13" xr3:uid="{CE5806FB-20F5-4F53-87EA-EF77798CD95D}" name="Apr-27" dataDxfId="421"/>
    <tableColumn id="14" xr3:uid="{9447668B-4296-46F0-8249-44D7E69FFF89}" name="May-27" dataDxfId="420"/>
    <tableColumn id="15" xr3:uid="{BAEDFEDF-65B7-4C40-889A-62310BE6F7B5}" name="Jun-27" dataDxfId="419"/>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104CE9E0-E5DE-4607-9D0D-DD7B7B3BA17F}" name="Table314654" displayName="Table314654" ref="Z4:AN34" totalsRowShown="0" headerRowDxfId="418" dataDxfId="417">
  <autoFilter ref="Z4:AN34" xr:uid="{F02D4A8E-2ADD-4A23-83D8-CDC53149AA81}"/>
  <tableColumns count="15">
    <tableColumn id="1" xr3:uid="{CBEAF64D-24C8-4CAF-8A64-195C6E959AEA}" name="Metric" dataDxfId="416"/>
    <tableColumn id="2" xr3:uid="{79699890-EAFF-467C-89D8-A4DD8D2E13C9}" name="May-26" dataDxfId="415"/>
    <tableColumn id="3" xr3:uid="{98B16D66-07BF-453B-9D4B-4BDF90394A90}" name="Jun-26" dataDxfId="414">
      <calculatedColumnFormula>(WomData[[#This Row],[Jun-26]]-WomData[[#This Row],[May-26]])/WomData[[#This Row],[May-26]]</calculatedColumnFormula>
    </tableColumn>
    <tableColumn id="4" xr3:uid="{33D406A0-82A8-4FCB-A2D6-E5063DBD6376}" name="Jul-26" dataDxfId="413">
      <calculatedColumnFormula>(WomData[[#This Row],[Jul-26]]-WomData[[#This Row],[Jun-26]])/WomData[[#This Row],[Jun-26]]</calculatedColumnFormula>
    </tableColumn>
    <tableColumn id="5" xr3:uid="{032F1695-3837-428B-A0D9-76CE1B817223}" name="Aug-26" dataDxfId="412">
      <calculatedColumnFormula>(WomData[[#This Row],[Aug-26]]-WomData[[#This Row],[Jul-26]])/WomData[[#This Row],[Jul-26]]</calculatedColumnFormula>
    </tableColumn>
    <tableColumn id="6" xr3:uid="{1521567D-7AF8-4B2F-BE08-331410AD5C3B}" name="Sep-26" dataDxfId="411">
      <calculatedColumnFormula>(WomData[[#This Row],[Sep-26]]-WomData[[#This Row],[Aug-26]])/WomData[[#This Row],[Aug-26]]</calculatedColumnFormula>
    </tableColumn>
    <tableColumn id="7" xr3:uid="{0CDB624D-DFAC-4580-8617-1A7B543FAE03}" name="Oct-26" dataDxfId="410">
      <calculatedColumnFormula>(WomData[[#This Row],[Oct-26]]-WomData[[#This Row],[Sep-26]])/WomData[[#This Row],[Sep-26]]</calculatedColumnFormula>
    </tableColumn>
    <tableColumn id="8" xr3:uid="{190B6B3C-BB10-48A1-B307-C696D7935A05}" name="Nov-26" dataDxfId="409">
      <calculatedColumnFormula>(WomData[[#This Row],[Nov-26]]-WomData[[#This Row],[Oct-26]])/WomData[[#This Row],[Oct-26]]</calculatedColumnFormula>
    </tableColumn>
    <tableColumn id="9" xr3:uid="{07AFDBC0-AF81-433A-903E-13497D9644F0}" name="Dec-26" dataDxfId="408">
      <calculatedColumnFormula>(WomData[[#This Row],[Dec-26]]-WomData[[#This Row],[Nov-26]])/WomData[[#This Row],[Nov-26]]</calculatedColumnFormula>
    </tableColumn>
    <tableColumn id="10" xr3:uid="{28FBC1BC-F8CA-4141-BA7D-7006194C7198}" name="Jan-27" dataDxfId="407">
      <calculatedColumnFormula>(WomData[[#This Row],[Jan-27]]-WomData[[#This Row],[Dec-26]])/WomData[[#This Row],[Dec-26]]</calculatedColumnFormula>
    </tableColumn>
    <tableColumn id="11" xr3:uid="{86B4C162-A1DE-4A4C-AB63-7B68778879D1}" name="Feb-27" dataDxfId="406">
      <calculatedColumnFormula>(WomData[[#This Row],[Feb-27]]-WomData[[#This Row],[Jan-27]])/WomData[[#This Row],[Jan-27]]</calculatedColumnFormula>
    </tableColumn>
    <tableColumn id="12" xr3:uid="{37206F60-3176-47FE-8357-AF794D8A6CEA}" name="Mar-27" dataDxfId="405">
      <calculatedColumnFormula>(WomData[[#This Row],[Mar-27]]-WomData[[#This Row],[Feb-27]])/WomData[[#This Row],[Feb-27]]</calculatedColumnFormula>
    </tableColumn>
    <tableColumn id="13" xr3:uid="{12811F7C-03EE-47D8-A8FE-D7A6D35D45FF}" name="Apr-27" dataDxfId="404">
      <calculatedColumnFormula>(WomData[[#This Row],[Apr-27]]-WomData[[#This Row],[Mar-27]])/WomData[[#This Row],[Mar-27]]</calculatedColumnFormula>
    </tableColumn>
    <tableColumn id="14" xr3:uid="{7592B2FF-FDE9-436A-B144-1A4255E64887}" name="May-27" dataDxfId="403">
      <calculatedColumnFormula>(WomData[[#This Row],[May-27]]-WomData[[#This Row],[Apr-27]])/WomData[[#This Row],[Apr-27]]</calculatedColumnFormula>
    </tableColumn>
    <tableColumn id="15" xr3:uid="{A7714BA2-8E70-497B-96E6-17EE175DEE8E}" name="Jun-27" dataDxfId="402">
      <calculatedColumnFormula>(WomData[[#This Row],[Jun-27]]-WomData[[#This Row],[May-27]])/WomData[[#This Row],[May-27]]</calculatedColumnFormula>
    </tableColumn>
  </tableColumns>
  <tableStyleInfo name="TableStyleLight9"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3899D0C3-4433-49E1-AD91-4AB66D01EBCA}" name="Table1154" displayName="Table1154" ref="Q3:S14" totalsRowShown="0" headerRowDxfId="401" dataDxfId="400">
  <autoFilter ref="Q3:S14" xr:uid="{50E28926-20C3-475D-BDBF-F8281906E60A}"/>
  <tableColumns count="3">
    <tableColumn id="1" xr3:uid="{F76A7813-AA7A-4347-A8AE-331526968177}" name="Metric" dataDxfId="399"/>
    <tableColumn id="2" xr3:uid="{FD907652-451F-4899-B420-0CB821036ACF}" name="Amount" dataDxfId="398">
      <calculatedColumnFormula>'Data Entry'!G5</calculatedColumnFormula>
    </tableColumn>
    <tableColumn id="3" xr3:uid="{F347C81C-AA1F-478F-A406-457DA95F49B0}" name="Monthly Change" dataDxfId="397">
      <calculatedColumnFormula>'Data Entry'!AD5</calculatedColumnFormula>
    </tableColumn>
  </tableColumns>
  <tableStyleInfo name="TableStyleMedium1"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D6DB1D2-E227-4474-B7D2-1BF2EF46C42E}" name="Table2155" displayName="Table2155" ref="Q26:S30" totalsRowShown="0" headerRowDxfId="396" dataDxfId="395">
  <autoFilter ref="Q26:S30" xr:uid="{978F3CC9-5BF8-4496-8EA0-74628B9090DE}"/>
  <tableColumns count="3">
    <tableColumn id="1" xr3:uid="{AC50765B-B608-4006-9923-D4AB5D89018C}" name="Metric" dataDxfId="394"/>
    <tableColumn id="2" xr3:uid="{65CF02A5-AFF8-464C-891B-E7BD04AFF473}" name="Amount" dataDxfId="393">
      <calculatedColumnFormula>'Data Entry'!G22</calculatedColumnFormula>
    </tableColumn>
    <tableColumn id="3" xr3:uid="{6E2171DF-2C2E-46E9-BE9A-EF38F2131ECC}" name="Monthly Change" dataDxfId="392">
      <calculatedColumnFormula>'Data Entry'!AD22</calculatedColumnFormula>
    </tableColumn>
  </tableColumns>
  <tableStyleInfo name="TableStyleMedium6"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985C2C72-BB03-4F2F-8AD1-D772322DA0FB}" name="Table3156" displayName="Table3156" ref="Q17:S23" totalsRowShown="0" headerRowDxfId="391" dataDxfId="390">
  <autoFilter ref="Q17:S23" xr:uid="{458C1116-1117-4013-A3B0-E12695533783}"/>
  <tableColumns count="3">
    <tableColumn id="1" xr3:uid="{D94BBA91-794F-4457-872A-9408AADA1A9B}" name="Metric" dataDxfId="389"/>
    <tableColumn id="2" xr3:uid="{2906E4CD-80DD-4493-AE8F-EAE2B015C2BF}" name="Amount" dataDxfId="388">
      <calculatedColumnFormula>'Data Entry'!G16</calculatedColumnFormula>
    </tableColumn>
    <tableColumn id="3" xr3:uid="{38F5F2D4-579C-4C6A-B37B-D4C1FDFBB5B9}" name="Monthly Change" dataDxfId="387">
      <calculatedColumnFormula>'Data Entry'!AD16</calculatedColumnFormula>
    </tableColumn>
  </tableColumns>
  <tableStyleInfo name="TableStyleLight13"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EFE812AE-5841-4E32-B07B-A7BFA5E31B38}" name="Table4157" displayName="Table4157" ref="Q33:S35" totalsRowShown="0" headerRowDxfId="386" dataDxfId="385">
  <autoFilter ref="Q33:S35" xr:uid="{9109CEA8-C7A9-499C-AA0A-C8234A6A23AB}"/>
  <tableColumns count="3">
    <tableColumn id="1" xr3:uid="{36F40CF1-D62D-4013-88F6-D05D1CDCC407}" name="Metric" dataDxfId="384"/>
    <tableColumn id="2" xr3:uid="{A6385B20-9B88-4B54-8C74-D72E2958298E}" name="Amount" dataDxfId="383">
      <calculatedColumnFormula>'Data Entry'!G26</calculatedColumnFormula>
    </tableColumn>
    <tableColumn id="3" xr3:uid="{0CB7C8EA-EF87-4638-9EB4-4344D587613A}" name="Monthly Change" dataDxfId="382">
      <calculatedColumnFormula>'Data Entry'!AD26</calculatedColumnFormula>
    </tableColumn>
  </tableColumns>
  <tableStyleInfo name="TableStyleMedium9"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F616F9D7-DC4E-4428-ABCD-737CD155479A}" name="Table5158" displayName="Table5158" ref="Q38:S42" totalsRowShown="0" headerRowDxfId="381" dataDxfId="380">
  <autoFilter ref="Q38:S42" xr:uid="{3F3F0AB5-1179-4C9D-867C-C723242C67E6}"/>
  <tableColumns count="3">
    <tableColumn id="1" xr3:uid="{4B172C90-B36C-4C40-BC5A-BB4557D3B653}" name="Metric" dataDxfId="379"/>
    <tableColumn id="2" xr3:uid="{A472D452-1506-49A7-A041-25E684A78187}" name="Amount" dataDxfId="378">
      <calculatedColumnFormula>'Data Entry'!G28</calculatedColumnFormula>
    </tableColumn>
    <tableColumn id="3" xr3:uid="{ECDB4D16-F9B4-401F-BFD3-160691161A83}" name="Monthly Change" dataDxfId="377">
      <calculatedColumnFormula>'Data Entry'!AD28</calculatedColumnFormula>
    </tableColumn>
  </tableColumns>
  <tableStyleInfo name="TableStyleLight9"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A86317B3-0E83-4FAF-9EC7-7CF06270755E}" name="Table6159" displayName="Table6159" ref="Q45:S48" totalsRowShown="0" headerRowDxfId="376" dataDxfId="375">
  <autoFilter ref="Q45:S48" xr:uid="{88036F59-93BA-4021-AFF1-10334D79DC92}"/>
  <tableColumns count="3">
    <tableColumn id="1" xr3:uid="{4CD95732-8FC4-4D1F-8092-134361882B1E}" name="Metric" dataDxfId="374"/>
    <tableColumn id="2" xr3:uid="{2C6FEDE4-2BA1-4516-B7C6-19897A67600F}" name="Amount" dataDxfId="373">
      <calculatedColumnFormula>'Data Entry'!G32</calculatedColumnFormula>
    </tableColumn>
    <tableColumn id="3" xr3:uid="{1D7B090F-3333-4702-8F5C-1ADE99A84BAF}" name="Monthly Change" dataDxfId="372">
      <calculatedColumnFormula>'Data Entry'!AD32</calculatedColumnFormula>
    </tableColumn>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D9DC2D52-A1CE-4F2F-BBF5-B72ED5F62EF7}" name="Table18160" displayName="Table18160" ref="Y3:AA14" totalsRowShown="0" headerRowDxfId="371" dataDxfId="370">
  <autoFilter ref="Y3:AA14" xr:uid="{2F8E30C4-57C1-40A7-B5E4-5A721328B9F8}"/>
  <tableColumns count="3">
    <tableColumn id="1" xr3:uid="{DAC7691E-4367-44A3-8765-F03E494E0F58}" name="Metric" dataDxfId="369"/>
    <tableColumn id="2" xr3:uid="{73B4CA0E-D315-407F-960B-F777C08A5628}" name="Amount" dataDxfId="368">
      <calculatedColumnFormula>'Data Entry'!H5</calculatedColumnFormula>
    </tableColumn>
    <tableColumn id="3" xr3:uid="{F82FA625-5A44-425B-8052-EEF90C2D1944}" name="Monthly Change" dataDxfId="367">
      <calculatedColumnFormula>'Data Entry'!AE5</calculatedColumnFormula>
    </tableColumn>
  </tableColumns>
  <tableStyleInfo name="TableStyleMedium1"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29FC847F-2D7B-4C15-BB1F-A63C724F8C55}" name="Table29161" displayName="Table29161" ref="Y26:AA30" totalsRowShown="0" headerRowDxfId="366" dataDxfId="365">
  <autoFilter ref="Y26:AA30" xr:uid="{1A4A1F5F-C704-4F0F-A9C4-4162E99E3113}"/>
  <tableColumns count="3">
    <tableColumn id="1" xr3:uid="{6E24ECAF-B66F-46CB-863F-7CEBF497F38A}" name="Metric" dataDxfId="364"/>
    <tableColumn id="2" xr3:uid="{3A8ED118-8BB5-44E2-89DB-616877E5B187}" name="Amount" dataDxfId="363">
      <calculatedColumnFormula>'Data Entry'!H22</calculatedColumnFormula>
    </tableColumn>
    <tableColumn id="3" xr3:uid="{FF566D9C-8BF4-4A0F-8CCD-66E42C495F63}" name="Monthly Change" dataDxfId="362">
      <calculatedColumnFormula>'Data Entry'!AE22</calculatedColumnFormula>
    </tableColumn>
  </tableColumns>
  <tableStyleInfo name="TableStyleMedium6"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56533DFE-C957-418F-9944-88BACF8C5640}" name="Table310162" displayName="Table310162" ref="Y17:AA23" totalsRowShown="0" headerRowDxfId="361" dataDxfId="360">
  <autoFilter ref="Y17:AA23" xr:uid="{54B207D9-6A39-4F1A-B830-6BE0E3F8852B}"/>
  <tableColumns count="3">
    <tableColumn id="1" xr3:uid="{EF1BA916-D983-455B-B775-1E13CC435BCC}" name="Metric" dataDxfId="359"/>
    <tableColumn id="2" xr3:uid="{ECBA30B4-436D-470D-9F93-2E0C0B8722AB}" name="Amount" dataDxfId="358">
      <calculatedColumnFormula>'Data Entry'!H16</calculatedColumnFormula>
    </tableColumn>
    <tableColumn id="3" xr3:uid="{D57FCE57-CBD1-408B-ABF9-70713EF9599E}" name="Monthly Change" dataDxfId="357">
      <calculatedColumnFormula>'Data Entry'!AE16</calculatedColumnFormula>
    </tableColumn>
  </tableColumns>
  <tableStyleInfo name="TableStyleLight13"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2AB37A66-56A9-4392-9E80-650298DD7DA3}" name="Table411163" displayName="Table411163" ref="Y33:AA35" totalsRowShown="0" headerRowDxfId="356" dataDxfId="355">
  <autoFilter ref="Y33:AA35" xr:uid="{1DFC04C1-1498-40B0-BABC-59823356F662}"/>
  <tableColumns count="3">
    <tableColumn id="1" xr3:uid="{D2BF0084-7D1A-4DC6-90EB-360F9E163154}" name="Metric" dataDxfId="354"/>
    <tableColumn id="2" xr3:uid="{1EA1D866-C7DB-4E70-B9E4-297733F0EFBD}" name="Amount" dataDxfId="353">
      <calculatedColumnFormula>'Data Entry'!H26</calculatedColumnFormula>
    </tableColumn>
    <tableColumn id="3" xr3:uid="{446C9318-E0ED-43D2-BA10-F9183F20CE8F}" name="Monthly Change" dataDxfId="352">
      <calculatedColumnFormula>'Data Entry'!AE26</calculatedColumnFormula>
    </tableColumn>
  </tableColumns>
  <tableStyleInfo name="TableStyleMedium9"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66026DE9-CE03-48E5-B31D-A351CCF7E6B3}" name="Table512164" displayName="Table512164" ref="Y38:AA42" totalsRowShown="0" headerRowDxfId="351" dataDxfId="350">
  <autoFilter ref="Y38:AA42" xr:uid="{7D05F4C5-4511-4AE9-AC96-46901C23998E}"/>
  <tableColumns count="3">
    <tableColumn id="1" xr3:uid="{2F368AA3-7A4B-4ED4-997E-920444BFAB0F}" name="Metric" dataDxfId="349"/>
    <tableColumn id="2" xr3:uid="{AFDD7503-6415-4A2B-A3EF-6712F98BBE77}" name="Amount" dataDxfId="348">
      <calculatedColumnFormula>'Data Entry'!H28</calculatedColumnFormula>
    </tableColumn>
    <tableColumn id="3" xr3:uid="{6D9F8EE3-E115-441A-A392-13E24397F90A}" name="Monthly Change" dataDxfId="347">
      <calculatedColumnFormula>'Data Entry'!AE28</calculatedColumnFormula>
    </tableColumn>
  </tableColumns>
  <tableStyleInfo name="TableStyleLight9"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56C5194-89D6-4365-BDE7-F634171C9380}" name="Table613165" displayName="Table613165" ref="Y45:AA48" totalsRowShown="0" headerRowDxfId="346" dataDxfId="345">
  <autoFilter ref="Y45:AA48" xr:uid="{FA3CD13E-4619-4692-B363-F4CB2885E596}"/>
  <tableColumns count="3">
    <tableColumn id="1" xr3:uid="{2819FACA-017E-42F5-9435-0F6D5F74C8CC}" name="Metric" dataDxfId="344"/>
    <tableColumn id="2" xr3:uid="{6B919E93-7A56-4EFC-8B67-7E7BD18C72E5}" name="Amount" dataDxfId="343">
      <calculatedColumnFormula>'Data Entry'!H32</calculatedColumnFormula>
    </tableColumn>
    <tableColumn id="3" xr3:uid="{048D9260-005E-42BF-A11A-6EE4323D79CB}" name="Monthly Change" dataDxfId="342">
      <calculatedColumnFormula>'Data Entry'!AE32</calculatedColumnFormula>
    </tableColumn>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8287EBCB-2553-4468-8E37-D03DA48DBEBA}" name="Table1814166" displayName="Table1814166" ref="AG3:AI14" totalsRowShown="0" headerRowDxfId="341" dataDxfId="340">
  <autoFilter ref="AG3:AI14" xr:uid="{69AC4D04-398F-4B93-A100-FE21954EB757}"/>
  <tableColumns count="3">
    <tableColumn id="1" xr3:uid="{04C6429A-575E-4FFC-9C12-83F3AA7ED72E}" name="Metric" dataDxfId="339"/>
    <tableColumn id="2" xr3:uid="{54E23A50-1940-4582-B5D7-6B0F0758A29A}" name="Amount" dataDxfId="338">
      <calculatedColumnFormula>'Data Entry'!I5</calculatedColumnFormula>
    </tableColumn>
    <tableColumn id="3" xr3:uid="{19E736F0-3F14-48C9-8FFD-1AADBE2FF2ED}" name="Monthly Change" dataDxfId="337">
      <calculatedColumnFormula>'Data Entry'!AF5</calculatedColumnFormula>
    </tableColumn>
  </tableColumns>
  <tableStyleInfo name="TableStyleMedium1"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4370B760-92F2-4337-8D12-63E907696EB3}" name="Table2915167" displayName="Table2915167" ref="AG26:AI30" totalsRowShown="0" headerRowDxfId="336" dataDxfId="335">
  <autoFilter ref="AG26:AI30" xr:uid="{E60FF5D0-CB81-4D95-8A82-6BC07159B5F7}"/>
  <tableColumns count="3">
    <tableColumn id="1" xr3:uid="{F0B40C04-67FF-4051-B857-3091B828EF9E}" name="Metric" dataDxfId="334"/>
    <tableColumn id="2" xr3:uid="{4ED3E397-EF65-47FF-A3D2-3784B5B31326}" name="Amount" dataDxfId="333">
      <calculatedColumnFormula>'Data Entry'!I22</calculatedColumnFormula>
    </tableColumn>
    <tableColumn id="3" xr3:uid="{D4421309-A8BF-408F-9340-1A15F1F31410}" name="Monthly Change" dataDxfId="332">
      <calculatedColumnFormula>'Data Entry'!AF22</calculatedColumnFormula>
    </tableColumn>
  </tableColumns>
  <tableStyleInfo name="TableStyleMedium6"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5DAB8083-AF63-4D9F-A29D-D0456A7D7305}" name="Table31016168" displayName="Table31016168" ref="AG17:AI23" totalsRowShown="0" headerRowDxfId="331" dataDxfId="330">
  <autoFilter ref="AG17:AI23" xr:uid="{EFCF0678-D1E1-467D-B506-67057012922C}"/>
  <tableColumns count="3">
    <tableColumn id="1" xr3:uid="{0EEDF556-A42D-455B-99F2-FEEC12B38306}" name="Metric" dataDxfId="329"/>
    <tableColumn id="2" xr3:uid="{29EE253B-5350-4556-9D7C-C554767393E6}" name="Amount" dataDxfId="328">
      <calculatedColumnFormula>'Data Entry'!I16</calculatedColumnFormula>
    </tableColumn>
    <tableColumn id="3" xr3:uid="{48E74D65-D911-4A7C-8B7F-DD66705DD412}" name="Monthly Change" dataDxfId="327">
      <calculatedColumnFormula>'Data Entry'!AF16</calculatedColumnFormula>
    </tableColumn>
  </tableColumns>
  <tableStyleInfo name="TableStyleLight13"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178FD1F0-F4A4-47B3-AF3D-12C0C92FA3CA}" name="Table41117169" displayName="Table41117169" ref="AG33:AI35" totalsRowShown="0" headerRowDxfId="326" dataDxfId="325">
  <autoFilter ref="AG33:AI35" xr:uid="{0DED4F68-2426-4F40-9D1A-552C58B43BA0}"/>
  <tableColumns count="3">
    <tableColumn id="1" xr3:uid="{F1FADCF2-6F0E-4769-AFBB-EEEB4A4063AC}" name="Metric" dataDxfId="324"/>
    <tableColumn id="2" xr3:uid="{18AF44D5-5688-4572-B50B-58E2698C5527}" name="Amount" dataDxfId="323">
      <calculatedColumnFormula>'Data Entry'!I26</calculatedColumnFormula>
    </tableColumn>
    <tableColumn id="3" xr3:uid="{3AC7BE99-768C-4104-9FF9-7693203DA610}" name="Monthly Change" dataDxfId="322">
      <calculatedColumnFormula>'Data Entry'!AF26</calculatedColumnFormula>
    </tableColumn>
  </tableColumns>
  <tableStyleInfo name="TableStyleMedium9"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91A02A8F-D980-4A72-983A-3D51B28CE2C8}" name="Table51218170" displayName="Table51218170" ref="AG38:AI42" totalsRowShown="0" headerRowDxfId="321" dataDxfId="320">
  <autoFilter ref="AG38:AI42" xr:uid="{8A83A3E3-8F2B-470A-AA3E-49A90A772C45}"/>
  <tableColumns count="3">
    <tableColumn id="1" xr3:uid="{43CD1264-E76A-4598-BDD0-31B8743C8DA2}" name="Metric" dataDxfId="319"/>
    <tableColumn id="2" xr3:uid="{D6BF29D5-12F5-4274-8D51-F644B5BE5D1C}" name="Amount" dataDxfId="318">
      <calculatedColumnFormula>'Data Entry'!I28</calculatedColumnFormula>
    </tableColumn>
    <tableColumn id="3" xr3:uid="{1F5E0D40-36E5-4B9F-8541-9D817C511E23}" name="Monthly Change" dataDxfId="317">
      <calculatedColumnFormula>'Data Entry'!AF28</calculatedColumnFormula>
    </tableColumn>
  </tableColumns>
  <tableStyleInfo name="TableStyleLight9"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704C1891-52E5-45DE-B6E7-08B4240435BC}" name="Table61319171" displayName="Table61319171" ref="AG45:AI48" totalsRowShown="0" headerRowDxfId="316" dataDxfId="315">
  <autoFilter ref="AG45:AI48" xr:uid="{23CFCF4E-80DF-4F87-87A7-E19B983C6F00}"/>
  <tableColumns count="3">
    <tableColumn id="1" xr3:uid="{98630F18-6EDE-4B76-8E31-E4CEF3549E08}" name="Metric" dataDxfId="314"/>
    <tableColumn id="2" xr3:uid="{8E917209-9F47-4CCD-9990-41235D2DDD5C}" name="Amount" dataDxfId="313">
      <calculatedColumnFormula>'Data Entry'!I32</calculatedColumnFormula>
    </tableColumn>
    <tableColumn id="3" xr3:uid="{71D07C32-E88B-4BE8-A4D6-F310F208A191}" name="Monthly Change" dataDxfId="312">
      <calculatedColumnFormula>'Data Entry'!AF32</calculatedColumnFormula>
    </tableColumn>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7E411131-AC91-44AE-A490-288008052E74}" name="Table1820172" displayName="Table1820172" ref="AO3:AQ14" totalsRowShown="0" headerRowDxfId="311" dataDxfId="310">
  <autoFilter ref="AO3:AQ14" xr:uid="{945CA166-E1F7-453D-8F74-82D4C0B3AED1}"/>
  <tableColumns count="3">
    <tableColumn id="1" xr3:uid="{5C92357B-CFD1-4952-A73A-58A526220386}" name="Metric" dataDxfId="309"/>
    <tableColumn id="2" xr3:uid="{019D12C3-C10F-44A6-A12A-E07BD601D413}" name="Amount" dataDxfId="308">
      <calculatedColumnFormula>'Data Entry'!J5</calculatedColumnFormula>
    </tableColumn>
    <tableColumn id="3" xr3:uid="{895AB27A-DBB1-4E36-BEED-1CE314382453}" name="Monthly Change" dataDxfId="307">
      <calculatedColumnFormula>'Data Entry'!AG5</calculatedColumnFormula>
    </tableColumn>
  </tableColumns>
  <tableStyleInfo name="TableStyleMedium1"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1E2BFB11-5BF7-4F42-B8B4-357E4AD9D1A4}" name="Table2921173" displayName="Table2921173" ref="AO26:AQ30" totalsRowShown="0" headerRowDxfId="306" dataDxfId="305">
  <autoFilter ref="AO26:AQ30" xr:uid="{5286AA61-FACE-4897-ABBF-55A7C9FA94B3}"/>
  <tableColumns count="3">
    <tableColumn id="1" xr3:uid="{FE74789C-6DC0-459D-ABE3-AE235F42D569}" name="Metric" dataDxfId="304"/>
    <tableColumn id="2" xr3:uid="{3A869979-D2A3-406A-8CD6-8F761F6F4FA6}" name="Amount" dataDxfId="303">
      <calculatedColumnFormula>'Data Entry'!J22</calculatedColumnFormula>
    </tableColumn>
    <tableColumn id="3" xr3:uid="{FCC8E53D-5CA3-49D8-924C-E8F3C8577D59}" name="Monthly Change" dataDxfId="302">
      <calculatedColumnFormula>'Data Entry'!AG22</calculatedColumnFormula>
    </tableColumn>
  </tableColumns>
  <tableStyleInfo name="TableStyleMedium6"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E08D21F1-D8F3-4D54-9DF9-4ADE0AC7BB9E}" name="Table31022174" displayName="Table31022174" ref="AO17:AQ23" totalsRowShown="0" headerRowDxfId="301" dataDxfId="300">
  <autoFilter ref="AO17:AQ23" xr:uid="{626136AC-F550-4383-B2C9-BB7EAFA36756}"/>
  <tableColumns count="3">
    <tableColumn id="1" xr3:uid="{78C9DC1A-87B1-4942-80D6-B24E10F2F343}" name="Metric" dataDxfId="299"/>
    <tableColumn id="2" xr3:uid="{FC33EA1F-D10D-416B-BBA4-5BF6E8E3E60F}" name="Amount" dataDxfId="298">
      <calculatedColumnFormula>'Data Entry'!J16</calculatedColumnFormula>
    </tableColumn>
    <tableColumn id="3" xr3:uid="{D8788088-E541-4422-8587-FA706EDFF293}" name="Monthly Change" dataDxfId="297">
      <calculatedColumnFormula>'Data Entry'!AG16</calculatedColumnFormula>
    </tableColumn>
  </tableColumns>
  <tableStyleInfo name="TableStyleLight13"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87D6B59-628B-4AC9-A2E1-0BE17CF33243}" name="Table41123175" displayName="Table41123175" ref="AO33:AQ35" totalsRowShown="0" headerRowDxfId="296" dataDxfId="295">
  <autoFilter ref="AO33:AQ35" xr:uid="{F4F9B6F5-7CAA-4DA7-849D-04162C95C5B3}"/>
  <tableColumns count="3">
    <tableColumn id="1" xr3:uid="{E8E6D3A3-5591-4515-81CF-30E4A301E737}" name="Metric" dataDxfId="294"/>
    <tableColumn id="2" xr3:uid="{6E525CB8-1CDB-4D5D-B6D4-1076C41D25E1}" name="Amount" dataDxfId="293">
      <calculatedColumnFormula>'Data Entry'!J26</calculatedColumnFormula>
    </tableColumn>
    <tableColumn id="3" xr3:uid="{6B8A76A1-4E80-4979-9AF3-98CDC2AE9F5F}" name="Monthly Change" dataDxfId="292">
      <calculatedColumnFormula>'Data Entry'!AG26</calculatedColumnFormula>
    </tableColumn>
  </tableColumns>
  <tableStyleInfo name="TableStyleMedium9"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63065F3-A19E-4FE1-83D1-2AE54451B413}" name="Table51224176" displayName="Table51224176" ref="AO38:AQ42" totalsRowShown="0" headerRowDxfId="291" dataDxfId="290">
  <autoFilter ref="AO38:AQ42" xr:uid="{0FFC43FA-812D-4B14-A00F-819A80B4A626}"/>
  <tableColumns count="3">
    <tableColumn id="1" xr3:uid="{B05AC486-C5CA-4356-B888-C3F193EC6F4F}" name="Metric" dataDxfId="289"/>
    <tableColumn id="2" xr3:uid="{1493CDBC-6A05-4472-9645-E62D995EFF38}" name="Amount" dataDxfId="288">
      <calculatedColumnFormula>'Data Entry'!J28</calculatedColumnFormula>
    </tableColumn>
    <tableColumn id="3" xr3:uid="{E14C4F47-FCC3-47B7-9CE9-64F8882073CA}" name="Monthly Change" dataDxfId="287">
      <calculatedColumnFormula>'Data Entry'!AG28</calculatedColumnFormula>
    </tableColumn>
  </tableColumns>
  <tableStyleInfo name="TableStyleLight9"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E1D14FF1-812F-44FF-BB61-07D146D42AB4}" name="Table61325177" displayName="Table61325177" ref="AO45:AQ48" totalsRowShown="0" headerRowDxfId="286" dataDxfId="285">
  <autoFilter ref="AO45:AQ48" xr:uid="{42A6A1C8-AB29-4757-A0BB-A9225ED09922}"/>
  <tableColumns count="3">
    <tableColumn id="1" xr3:uid="{8DABF84E-C206-48A2-99AA-E6E7E245DC7A}" name="Metric" dataDxfId="284"/>
    <tableColumn id="2" xr3:uid="{0CF2BC3F-AE75-404F-8BB2-BE7C2026BF88}" name="Amount" dataDxfId="283">
      <calculatedColumnFormula>'Data Entry'!J32</calculatedColumnFormula>
    </tableColumn>
    <tableColumn id="3" xr3:uid="{8309731B-EB69-41D6-8288-595BB1A0E2B9}" name="Monthly Change" dataDxfId="282">
      <calculatedColumnFormula>'Data Entry'!AG32</calculatedColumnFormula>
    </tableColumn>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3ABF3CAF-5E6D-4E07-A4FC-2B28CC990373}" name="Table182026178" displayName="Table182026178" ref="AW3:AY14" totalsRowShown="0" headerRowDxfId="281" dataDxfId="280">
  <autoFilter ref="AW3:AY14" xr:uid="{159440AB-ABCA-4C3B-B9B5-974B79EDD43B}"/>
  <tableColumns count="3">
    <tableColumn id="1" xr3:uid="{A2E2C7CB-F2B8-41F3-B3E6-669F6F83DFD7}" name="Metric" dataDxfId="279"/>
    <tableColumn id="2" xr3:uid="{4C936199-0620-4F02-B8A9-F452AD780635}" name="Amount" dataDxfId="278">
      <calculatedColumnFormula>'Data Entry'!K5</calculatedColumnFormula>
    </tableColumn>
    <tableColumn id="3" xr3:uid="{E7CA4FDC-431F-4034-A214-B3E0DDB6867D}" name="Monthly Change" dataDxfId="277">
      <calculatedColumnFormula>'Data Entry'!AH5</calculatedColumnFormula>
    </tableColumn>
  </tableColumns>
  <tableStyleInfo name="TableStyleMedium1"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26CE6592-B440-43E2-82FF-0760EDB3F5C6}" name="Table292127179" displayName="Table292127179" ref="AW26:AY30" totalsRowShown="0" headerRowDxfId="276" dataDxfId="275">
  <autoFilter ref="AW26:AY30" xr:uid="{BB7267DA-09D7-4D98-A0BD-02C8C423DD7C}"/>
  <tableColumns count="3">
    <tableColumn id="1" xr3:uid="{0536FE22-3088-417D-9A2D-031F1DADD9F0}" name="Metric" dataDxfId="274"/>
    <tableColumn id="2" xr3:uid="{0BF2AAAE-4A01-4B46-A097-8C55AA6002F2}" name="Amount" dataDxfId="273">
      <calculatedColumnFormula>'Data Entry'!K22</calculatedColumnFormula>
    </tableColumn>
    <tableColumn id="3" xr3:uid="{68AD4733-BB21-4B79-B78D-2F7F0EA8F11E}" name="Monthly Change" dataDxfId="272">
      <calculatedColumnFormula>'Data Entry'!AH22</calculatedColumnFormula>
    </tableColumn>
  </tableColumns>
  <tableStyleInfo name="TableStyleMedium6"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A6655E11-E6B3-4160-93AF-1EAA648B2570}" name="Table3102228180" displayName="Table3102228180" ref="AW17:AY23" totalsRowShown="0" headerRowDxfId="271" dataDxfId="270">
  <autoFilter ref="AW17:AY23" xr:uid="{62C82BD1-8D1F-4055-89BD-3D8096ABBA9C}"/>
  <tableColumns count="3">
    <tableColumn id="1" xr3:uid="{B9125489-F55B-41AC-98CD-46B4B82C9441}" name="Metric" dataDxfId="269"/>
    <tableColumn id="2" xr3:uid="{B80F61CC-09B7-4B79-AD29-D4A40C9E99AF}" name="Amount" dataDxfId="268">
      <calculatedColumnFormula>'Data Entry'!K16</calculatedColumnFormula>
    </tableColumn>
    <tableColumn id="3" xr3:uid="{2FB9BA90-BA6C-48B3-BF6B-B324B3C7B961}" name="Monthly Change" dataDxfId="267">
      <calculatedColumnFormula>'Data Entry'!AH16</calculatedColumnFormula>
    </tableColumn>
  </tableColumns>
  <tableStyleInfo name="TableStyleLight13"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C9306F55-D2A1-480B-B04A-3D98B741328B}" name="Table4112329181" displayName="Table4112329181" ref="AW33:AY35" totalsRowShown="0" headerRowDxfId="266" dataDxfId="265">
  <autoFilter ref="AW33:AY35" xr:uid="{9DF79115-2B48-425B-AA38-5C11CA22F011}"/>
  <tableColumns count="3">
    <tableColumn id="1" xr3:uid="{59B1621E-5C4C-48E1-A6EB-B800E66C9880}" name="Metric" dataDxfId="264"/>
    <tableColumn id="2" xr3:uid="{A632D4EC-FA0B-4CB4-93E4-D43F568F3FE4}" name="Amount" dataDxfId="263">
      <calculatedColumnFormula>'Data Entry'!K26</calculatedColumnFormula>
    </tableColumn>
    <tableColumn id="3" xr3:uid="{BC75068B-2D94-4125-B674-70E77B971247}" name="Monthly Change" dataDxfId="262">
      <calculatedColumnFormula>'Data Entry'!AH26</calculatedColumnFormula>
    </tableColumn>
  </tableColumns>
  <tableStyleInfo name="TableStyleMedium9"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EDD9CB3-FCBA-48F1-8C6F-73D6F1194534}" name="Table5122430182" displayName="Table5122430182" ref="AW38:AY42" totalsRowShown="0" headerRowDxfId="261" dataDxfId="260">
  <autoFilter ref="AW38:AY42" xr:uid="{E64BE4AA-BB48-4D34-9A25-75ED4E470E0E}"/>
  <tableColumns count="3">
    <tableColumn id="1" xr3:uid="{45DDE9E0-DB9D-44D1-AB48-6CCECBDBE3C6}" name="Metric" dataDxfId="259"/>
    <tableColumn id="2" xr3:uid="{E5358F0D-9942-41C7-AE16-E65AE5994F17}" name="Amount" dataDxfId="258">
      <calculatedColumnFormula>'Data Entry'!K28</calculatedColumnFormula>
    </tableColumn>
    <tableColumn id="3" xr3:uid="{488BD156-50CD-4379-B167-C6E4C517A21C}" name="Monthly Change" dataDxfId="257">
      <calculatedColumnFormula>'Data Entry'!AH28</calculatedColumnFormula>
    </tableColumn>
  </tableColumns>
  <tableStyleInfo name="TableStyleLight9"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111F7740-0BE7-4C0A-8AC0-98B8C47A3D5C}" name="Table6132531183" displayName="Table6132531183" ref="AW45:AY48" totalsRowShown="0" headerRowDxfId="256" dataDxfId="255">
  <autoFilter ref="AW45:AY48" xr:uid="{7A3D4CFB-C30A-4E79-9447-5061BF047097}"/>
  <tableColumns count="3">
    <tableColumn id="1" xr3:uid="{CB4EEFAC-DB8F-4985-9FB5-FD24A31AB1E1}" name="Metric" dataDxfId="254"/>
    <tableColumn id="2" xr3:uid="{FF699DB9-0533-41A5-A6FB-CC3ECFCC8D1C}" name="Amount" dataDxfId="253">
      <calculatedColumnFormula>'Data Entry'!K32</calculatedColumnFormula>
    </tableColumn>
    <tableColumn id="3" xr3:uid="{6D3838EE-5B0A-4AE6-9082-4DD8A1160C1E}" name="Monthly Change" dataDxfId="252">
      <calculatedColumnFormula>'Data Entry'!AH32</calculatedColumnFormula>
    </tableColumn>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372A3C1E-1A63-4CB9-AEEE-D2F98CD4F06F}" name="Table133184" displayName="Table133184" ref="J3:L14" totalsRowShown="0" headerRowDxfId="251" dataDxfId="250">
  <autoFilter ref="J3:L14" xr:uid="{9B1F7A2F-820C-482A-B181-3387B2F17B28}"/>
  <tableColumns count="3">
    <tableColumn id="1" xr3:uid="{A17847F7-4C90-448A-BC13-00B6304309E8}" name="Metric" dataDxfId="249"/>
    <tableColumn id="2" xr3:uid="{4CF9FD3A-7F8A-443A-9A77-362EF1316499}" name="Amount" dataDxfId="248">
      <calculatedColumnFormula>'Data Entry'!F5</calculatedColumnFormula>
    </tableColumn>
    <tableColumn id="3" xr3:uid="{54D6849F-B108-45EF-8517-514D9387C196}" name="Monthly Change" dataDxfId="247">
      <calculatedColumnFormula>'Data Entry'!AC5</calculatedColumnFormula>
    </tableColumn>
  </tableColumns>
  <tableStyleInfo name="TableStyleMedium1"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7032D9A5-0C82-4A57-B2ED-6F4202D2920A}" name="Table234185" displayName="Table234185" ref="J26:L30" totalsRowShown="0" headerRowDxfId="246" dataDxfId="245">
  <autoFilter ref="J26:L30" xr:uid="{D04A1585-F6D1-4E6C-A283-531D0D073DBE}"/>
  <tableColumns count="3">
    <tableColumn id="1" xr3:uid="{FC734DED-EF6A-4B5B-9C96-5B8F593CE56C}" name="Metric" dataDxfId="244"/>
    <tableColumn id="2" xr3:uid="{D090F950-9E75-4760-9D94-97EA5F38E95B}" name="Amount" dataDxfId="243">
      <calculatedColumnFormula>'Data Entry'!F22</calculatedColumnFormula>
    </tableColumn>
    <tableColumn id="3" xr3:uid="{0CFF11FF-2A13-4F3E-BCF6-06C8CCCB8DAE}" name="Monthly Change" dataDxfId="242">
      <calculatedColumnFormula>'Data Entry'!AC22</calculatedColumnFormula>
    </tableColumn>
  </tableColumns>
  <tableStyleInfo name="TableStyleMedium6"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4B8ECC78-6104-4641-9833-F3E45D1BE33B}" name="Table335186" displayName="Table335186" ref="J17:L23" totalsRowShown="0" headerRowDxfId="241" dataDxfId="240">
  <autoFilter ref="J17:L23" xr:uid="{574BCE57-B09C-4B6E-BEE3-8E007C423CF4}"/>
  <tableColumns count="3">
    <tableColumn id="1" xr3:uid="{6259D65A-951C-4A38-8BDC-8626DADC6988}" name="Metric" dataDxfId="239"/>
    <tableColumn id="2" xr3:uid="{17B634BA-CA09-44E8-8602-1EB8636DFE3A}" name="Amount" dataDxfId="238">
      <calculatedColumnFormula>'Data Entry'!F16</calculatedColumnFormula>
    </tableColumn>
    <tableColumn id="3" xr3:uid="{F2113058-1DC6-4278-A9F9-C8CAA55A9C1E}" name="Monthly Change" dataDxfId="237">
      <calculatedColumnFormula>'Data Entry'!AC16</calculatedColumnFormula>
    </tableColumn>
  </tableColumns>
  <tableStyleInfo name="TableStyleLight13"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03220862-F1E6-4F5E-A182-11A48B4BD32D}" name="Table436187" displayName="Table436187" ref="J33:L35" totalsRowShown="0" headerRowDxfId="236" dataDxfId="235">
  <autoFilter ref="J33:L35" xr:uid="{3246D3DA-5803-4941-9586-DECBC4C4C39E}"/>
  <tableColumns count="3">
    <tableColumn id="1" xr3:uid="{6D1DC0CC-D389-442C-B86D-5A2F9304AED1}" name="Metric" dataDxfId="234"/>
    <tableColumn id="2" xr3:uid="{22A6FD8A-5E7C-465A-99BB-BB962B133C40}" name="Amount" dataDxfId="233">
      <calculatedColumnFormula>'Data Entry'!F26</calculatedColumnFormula>
    </tableColumn>
    <tableColumn id="3" xr3:uid="{38F3D5FF-CA98-400B-B117-4419510B201D}" name="Monthly Change" dataDxfId="232">
      <calculatedColumnFormula>'Data Entry'!AC26</calculatedColumnFormula>
    </tableColumn>
  </tableColumns>
  <tableStyleInfo name="TableStyleMedium9"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0746B05A-4FEF-4375-B9E8-F0EF6928BB3C}" name="Table537188" displayName="Table537188" ref="J38:L42" totalsRowShown="0" headerRowDxfId="231" dataDxfId="230">
  <autoFilter ref="J38:L42" xr:uid="{134AD843-0370-4B9B-A3C3-443B10BFC4D6}"/>
  <tableColumns count="3">
    <tableColumn id="1" xr3:uid="{CB2B98D5-70E7-437E-BF5E-A58802B5EFB6}" name="Metric" dataDxfId="229"/>
    <tableColumn id="2" xr3:uid="{C03C1378-D37A-457B-8093-4C240995C96B}" name="Amount" dataDxfId="228">
      <calculatedColumnFormula>'Data Entry'!F28</calculatedColumnFormula>
    </tableColumn>
    <tableColumn id="3" xr3:uid="{58D531DC-D3DF-424F-AA56-5D9F1525E964}" name="Monthly Change" dataDxfId="227">
      <calculatedColumnFormula>'Data Entry'!AC28</calculatedColumnFormula>
    </tableColumn>
  </tableColumns>
  <tableStyleInfo name="TableStyleLight9"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0ED50DC2-C0D8-4956-98A8-24999777430A}" name="Table638189" displayName="Table638189" ref="J45:L48" totalsRowShown="0" headerRowDxfId="226" dataDxfId="225">
  <autoFilter ref="J45:L48" xr:uid="{575D85BD-A272-4A5A-BA2B-305571ED1A12}"/>
  <tableColumns count="3">
    <tableColumn id="1" xr3:uid="{FCD2BB61-60BD-4675-B061-071F3CD94A13}" name="Metric" dataDxfId="224"/>
    <tableColumn id="2" xr3:uid="{68A2ED58-ED2B-46A9-9EE4-249BD4F5D230}" name="Amount" dataDxfId="223">
      <calculatedColumnFormula>'Data Entry'!F32</calculatedColumnFormula>
    </tableColumn>
    <tableColumn id="3" xr3:uid="{2759A6F3-1DFD-4A99-A971-AD70F6268FBD}" name="Monthly Change" dataDxfId="222">
      <calculatedColumnFormula>'Data Entry'!AC32</calculatedColumnFormula>
    </tableColumn>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41FE7C91-D421-44C5-92F6-837AEA5B7AAF}" name="Table13339190" displayName="Table13339190" ref="B3:D14" totalsRowShown="0" headerRowDxfId="221" dataDxfId="220">
  <autoFilter ref="B3:D14" xr:uid="{19089E88-4995-4434-98B4-7BD094FFEE86}"/>
  <tableColumns count="3">
    <tableColumn id="1" xr3:uid="{24E10694-FDD0-426B-B4C7-5C2408ADE92F}" name="Metric" dataDxfId="219"/>
    <tableColumn id="2" xr3:uid="{FD1A3821-0D84-4126-BA29-DB572920A30A}" name="Amount" dataDxfId="218">
      <calculatedColumnFormula>'Data Entry'!E5</calculatedColumnFormula>
    </tableColumn>
    <tableColumn id="3" xr3:uid="{3E39D910-8D72-4804-9407-A1A90F91CC69}" name="Monthly Change" dataDxfId="217">
      <calculatedColumnFormula>'Data Entry'!AB5</calculatedColumnFormula>
    </tableColumn>
  </tableColumns>
  <tableStyleInfo name="TableStyleMedium1"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B3DB8EA1-3A0A-484E-A04D-45109474F670}" name="Table23440191" displayName="Table23440191" ref="B26:D30" totalsRowShown="0" headerRowDxfId="216" dataDxfId="215">
  <autoFilter ref="B26:D30" xr:uid="{8B068B6D-1F79-419F-9D7F-C677CFD3E285}"/>
  <tableColumns count="3">
    <tableColumn id="1" xr3:uid="{3F3E2ECD-ACDB-4B3F-8476-533CABEAA225}" name="Metric" dataDxfId="214"/>
    <tableColumn id="2" xr3:uid="{C65C35F8-81DB-402A-9EE5-BE2AF960C5A1}" name="Amount" dataDxfId="213">
      <calculatedColumnFormula>'Data Entry'!E22</calculatedColumnFormula>
    </tableColumn>
    <tableColumn id="3" xr3:uid="{7C5A9014-F775-4D2A-95F3-EA935E918A91}" name="Monthly Change" dataDxfId="212">
      <calculatedColumnFormula>'Data Entry'!AB22</calculatedColumnFormula>
    </tableColumn>
  </tableColumns>
  <tableStyleInfo name="TableStyleMedium6"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8F9B053A-73E8-4080-80A2-AA62925C32E5}" name="Table33541192" displayName="Table33541192" ref="B17:D23" totalsRowShown="0" headerRowDxfId="211" dataDxfId="210">
  <autoFilter ref="B17:D23" xr:uid="{70E992D3-9F66-432E-9B40-1BB5F34DE712}"/>
  <tableColumns count="3">
    <tableColumn id="1" xr3:uid="{16D498B4-2569-410E-AA04-074AB4154565}" name="Metric" dataDxfId="209"/>
    <tableColumn id="2" xr3:uid="{7F7965D2-91D8-4D51-B2BA-832019362C31}" name="Amount" dataDxfId="208">
      <calculatedColumnFormula>'Data Entry'!E16</calculatedColumnFormula>
    </tableColumn>
    <tableColumn id="3" xr3:uid="{75DA865A-F1D1-4882-AC72-53528FC317EF}" name="Monthly Change" dataDxfId="207">
      <calculatedColumnFormula>'Data Entry'!AB16</calculatedColumnFormula>
    </tableColumn>
  </tableColumns>
  <tableStyleInfo name="TableStyleLight13"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D073B42-6F8F-4D6D-A719-589A3C683C80}" name="Table43642193" displayName="Table43642193" ref="B33:D35" totalsRowShown="0" headerRowDxfId="206" dataDxfId="205">
  <autoFilter ref="B33:D35" xr:uid="{A3D031C3-0050-4947-8039-3BC67F974599}"/>
  <tableColumns count="3">
    <tableColumn id="1" xr3:uid="{5E7D7279-1A38-4CA7-8089-953B3891B93C}" name="Metric" dataDxfId="204"/>
    <tableColumn id="2" xr3:uid="{9369DD3F-EAE7-40C0-AA80-59E239AC21FA}" name="Amount" dataDxfId="203">
      <calculatedColumnFormula>'Data Entry'!E26</calculatedColumnFormula>
    </tableColumn>
    <tableColumn id="3" xr3:uid="{8835DCB5-B74F-4EAC-A640-9A22E195FC28}" name="Monthly Change" dataDxfId="202">
      <calculatedColumnFormula>'Data Entry'!AB26</calculatedColumnFormula>
    </tableColumn>
  </tableColumns>
  <tableStyleInfo name="TableStyleMedium9"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4874E646-687E-4E00-A1AD-E2D0C31027F4}" name="Table53743194" displayName="Table53743194" ref="B38:D42" totalsRowShown="0" headerRowDxfId="201" dataDxfId="200">
  <autoFilter ref="B38:D42" xr:uid="{5E3484F5-3393-4F01-975E-A76AAC5BD3B6}"/>
  <tableColumns count="3">
    <tableColumn id="1" xr3:uid="{DD7CF96C-5B83-47C0-99C7-A3289A269B38}" name="Metric" dataDxfId="199"/>
    <tableColumn id="2" xr3:uid="{34C6B521-1EC2-4752-9D95-76DB356854C0}" name="Amount" dataDxfId="198">
      <calculatedColumnFormula>'Data Entry'!E28</calculatedColumnFormula>
    </tableColumn>
    <tableColumn id="3" xr3:uid="{3AC05521-2DFA-43A8-9149-78C0F872DE99}" name="Monthly Change" dataDxfId="197">
      <calculatedColumnFormula>'Data Entry'!AB28</calculatedColumnFormula>
    </tableColumn>
  </tableColumns>
  <tableStyleInfo name="TableStyleLight9"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5738B185-FD4A-490A-A72F-E1462BFB3639}" name="Table63844195" displayName="Table63844195" ref="B45:D48" totalsRowShown="0" headerRowDxfId="196" dataDxfId="195">
  <autoFilter ref="B45:D48" xr:uid="{587ED215-0D7A-492B-8F6D-9C939F69BA80}"/>
  <tableColumns count="3">
    <tableColumn id="1" xr3:uid="{714DC2AB-DA8E-4EDE-8883-8F4D6F428477}" name="Metric" dataDxfId="194"/>
    <tableColumn id="2" xr3:uid="{248B2122-CC10-4866-BAD5-31DD95A81322}" name="Amount" dataDxfId="193">
      <calculatedColumnFormula>'Data Entry'!E32</calculatedColumnFormula>
    </tableColumn>
    <tableColumn id="3" xr3:uid="{7FFC3172-6BDF-4BD4-B30D-A6FB5E4E2369}" name="Monthly Change" dataDxfId="192">
      <calculatedColumnFormula>'Data Entry'!AB32</calculatedColumnFormula>
    </tableColumn>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C18D88AD-710A-4F65-B5A4-731C632917AC}" name="Table13339128196" displayName="Table13339128196" ref="BF3:BH14" totalsRowShown="0" headerRowDxfId="191" dataDxfId="190">
  <autoFilter ref="BF3:BH14" xr:uid="{65B62123-0DD9-4FC3-8B03-B68E0E82AA82}"/>
  <tableColumns count="3">
    <tableColumn id="1" xr3:uid="{2751239C-9D48-4C31-A5E7-5F24BD7CA8FF}" name="Metric" dataDxfId="189"/>
    <tableColumn id="2" xr3:uid="{7A5D23C0-C510-43E3-949D-FE145A6453F4}" name="Amount" dataDxfId="188">
      <calculatedColumnFormula>'Data Entry'!L5</calculatedColumnFormula>
    </tableColumn>
    <tableColumn id="3" xr3:uid="{78D5A3BB-F38E-45C7-ADB2-8C4FB148C998}" name="Monthly Change" dataDxfId="187">
      <calculatedColumnFormula>'Data Entry'!AI5</calculatedColumnFormula>
    </tableColumn>
  </tableColumns>
  <tableStyleInfo name="TableStyleMedium1"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A6A8C080-1A47-4BBE-B4EB-1ABBDEFA1625}" name="Table23440129197" displayName="Table23440129197" ref="BF26:BH30" totalsRowShown="0" headerRowDxfId="186" dataDxfId="185">
  <autoFilter ref="BF26:BH30" xr:uid="{0BA98ABE-6F1E-4696-8292-404FBC071DC7}"/>
  <tableColumns count="3">
    <tableColumn id="1" xr3:uid="{D5E1D9AF-602F-4FB5-B1BD-1B09DF8835AA}" name="Metric" dataDxfId="184"/>
    <tableColumn id="2" xr3:uid="{3128CD98-C1EC-4EF5-B4EC-F88D38190B6A}" name="Amount" dataDxfId="183">
      <calculatedColumnFormula>'Data Entry'!L22</calculatedColumnFormula>
    </tableColumn>
    <tableColumn id="3" xr3:uid="{759E7F32-7826-4A57-9998-E8C495109547}" name="Monthly Change" dataDxfId="182">
      <calculatedColumnFormula>'Data Entry'!AI22</calculatedColumnFormula>
    </tableColumn>
  </tableColumns>
  <tableStyleInfo name="TableStyleMedium6"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38677246-6706-4527-A41F-76884DBAC842}" name="Table33541130198" displayName="Table33541130198" ref="BF17:BH23" totalsRowShown="0" headerRowDxfId="181" dataDxfId="180">
  <autoFilter ref="BF17:BH23" xr:uid="{40C95056-CFFE-4EB7-A4C7-B4F865809CE8}"/>
  <tableColumns count="3">
    <tableColumn id="1" xr3:uid="{86AC4937-7DC8-4B99-AF11-4D375820C3A3}" name="Metric" dataDxfId="179"/>
    <tableColumn id="2" xr3:uid="{952744FA-8374-4160-99AC-EFE29F9A2524}" name="Amount" dataDxfId="178">
      <calculatedColumnFormula>'Data Entry'!L16</calculatedColumnFormula>
    </tableColumn>
    <tableColumn id="3" xr3:uid="{90E81CE6-54DD-483A-A6EB-2DF7F1B6FBDF}" name="Monthly Change" dataDxfId="177">
      <calculatedColumnFormula>'Data Entry'!AI16</calculatedColumnFormula>
    </tableColumn>
  </tableColumns>
  <tableStyleInfo name="TableStyleLight13"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91AE7723-CEA3-4D14-93D1-CD193984D0C8}" name="Table43642131199" displayName="Table43642131199" ref="BF33:BH35" totalsRowShown="0" headerRowDxfId="176" dataDxfId="175">
  <autoFilter ref="BF33:BH35" xr:uid="{D611B3C7-C72E-421A-BF47-556E13FC4382}"/>
  <tableColumns count="3">
    <tableColumn id="1" xr3:uid="{900FD6CE-8F02-4A16-86A1-3AC5899809AA}" name="Metric" dataDxfId="174"/>
    <tableColumn id="2" xr3:uid="{B9449649-2477-483D-9307-4698193F67C7}" name="Amount" dataDxfId="173">
      <calculatedColumnFormula>'Data Entry'!L26</calculatedColumnFormula>
    </tableColumn>
    <tableColumn id="3" xr3:uid="{F0CB70E1-B816-476E-8E52-1924F67D08B9}" name="Monthly Change" dataDxfId="172">
      <calculatedColumnFormula>'Data Entry'!AI26</calculatedColumnFormula>
    </tableColumn>
  </tableColumns>
  <tableStyleInfo name="TableStyleMedium9"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2B081F80-1134-4D8C-B2A5-07F79FAFE2AB}" name="Table53743132200" displayName="Table53743132200" ref="BF38:BH42" totalsRowShown="0" headerRowDxfId="171" dataDxfId="170">
  <autoFilter ref="BF38:BH42" xr:uid="{BE46DE3E-5A39-4E4D-A7DB-37E9E48D6772}"/>
  <tableColumns count="3">
    <tableColumn id="1" xr3:uid="{9EFDC375-94BA-4CF2-9D06-0313FF1D9B8C}" name="Metric" dataDxfId="169"/>
    <tableColumn id="2" xr3:uid="{F8859054-AE74-421E-84A5-CBFA5BEBC597}" name="Amount" dataDxfId="168">
      <calculatedColumnFormula>'Data Entry'!L28</calculatedColumnFormula>
    </tableColumn>
    <tableColumn id="3" xr3:uid="{BDF243A3-786D-4772-8E04-E7A2AC394AF3}" name="Monthly Change" dataDxfId="167">
      <calculatedColumnFormula>'Data Entry'!AI28</calculatedColumnFormula>
    </tableColumn>
  </tableColumns>
  <tableStyleInfo name="TableStyleLight9"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43722236-9C0C-4023-8F96-EDE4C6C0FEF1}" name="Table63844133201" displayName="Table63844133201" ref="BF45:BH48" totalsRowShown="0" headerRowDxfId="166" dataDxfId="165">
  <autoFilter ref="BF45:BH48" xr:uid="{B9469458-463F-4F34-96B7-23F228B384CD}"/>
  <tableColumns count="3">
    <tableColumn id="1" xr3:uid="{7E5772A0-0BA7-4FD3-8F30-E8DC1DB31296}" name="Metric" dataDxfId="164"/>
    <tableColumn id="2" xr3:uid="{5F6DE2DE-118C-4EF9-92DD-C19A12BE6947}" name="Amount" dataDxfId="163">
      <calculatedColumnFormula>'Data Entry'!L32</calculatedColumnFormula>
    </tableColumn>
    <tableColumn id="3" xr3:uid="{6B3CB3B5-AFC4-4753-91FC-33931959442F}" name="Monthly Change" dataDxfId="162">
      <calculatedColumnFormula>'Data Entry'!AI32</calculatedColumnFormula>
    </tableColumn>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0E479917-C2F9-4F73-ABB5-A563E254EB01}" name="Table13339128146202" displayName="Table13339128146202" ref="BN3:BP14" totalsRowShown="0" headerRowDxfId="161" dataDxfId="160">
  <autoFilter ref="BN3:BP14" xr:uid="{2D9F5F9E-788F-4E9B-8641-AA7CE149D163}"/>
  <tableColumns count="3">
    <tableColumn id="1" xr3:uid="{5C080C03-C230-4121-920A-5382070881E1}" name="Metric" dataDxfId="159"/>
    <tableColumn id="2" xr3:uid="{C8380CCD-23AC-420C-B801-D715806B26D7}" name="Amount" dataDxfId="158">
      <calculatedColumnFormula>'Data Entry'!M5</calculatedColumnFormula>
    </tableColumn>
    <tableColumn id="3" xr3:uid="{7A4286FC-12E0-4184-B597-3C3260B64E46}" name="Monthly Change" dataDxfId="157">
      <calculatedColumnFormula>'Data Entry'!AJ5</calculatedColumnFormula>
    </tableColumn>
  </tableColumns>
  <tableStyleInfo name="TableStyleMedium1"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FD9B9647-BE1B-4792-BA26-B68F87887EFA}" name="Table23440129147203" displayName="Table23440129147203" ref="BN26:BP30" totalsRowShown="0" headerRowDxfId="156" dataDxfId="155">
  <autoFilter ref="BN26:BP30" xr:uid="{0A8679DA-0F65-4C07-80E0-645282E593BA}"/>
  <tableColumns count="3">
    <tableColumn id="1" xr3:uid="{8AEC304F-9BFF-4DEC-B129-B433C9D93244}" name="Metric" dataDxfId="154"/>
    <tableColumn id="2" xr3:uid="{BE3E80D0-2C74-4B96-8B96-E88A7236F45B}" name="Amount" dataDxfId="153">
      <calculatedColumnFormula>'Data Entry'!M22</calculatedColumnFormula>
    </tableColumn>
    <tableColumn id="3" xr3:uid="{A133F1B1-EF58-476B-9A17-1D6FE510E01D}" name="Monthly Change" dataDxfId="152">
      <calculatedColumnFormula>'Data Entry'!AJ22</calculatedColumnFormula>
    </tableColumn>
  </tableColumns>
  <tableStyleInfo name="TableStyleMedium6"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3E962C5D-8AD6-4ECD-AD6D-348959CE6994}" name="Table33541130148204" displayName="Table33541130148204" ref="BN17:BP23" totalsRowShown="0" headerRowDxfId="151" dataDxfId="150">
  <autoFilter ref="BN17:BP23" xr:uid="{E90EFA9E-CFEB-4A39-BE35-443FF9F176D2}"/>
  <tableColumns count="3">
    <tableColumn id="1" xr3:uid="{A41C5D50-9111-4DB8-BF4A-1D6EBFA77958}" name="Metric" dataDxfId="149"/>
    <tableColumn id="2" xr3:uid="{BCECE6FC-B30E-42F2-8341-7D3A6D1C0134}" name="Amount" dataDxfId="148">
      <calculatedColumnFormula>'Data Entry'!M16</calculatedColumnFormula>
    </tableColumn>
    <tableColumn id="3" xr3:uid="{3B52F950-731A-4522-BA8D-CAE1FCCEEC9E}" name="Monthly Change" dataDxfId="147">
      <calculatedColumnFormula>'Data Entry'!AJ16</calculatedColumnFormula>
    </tableColumn>
  </tableColumns>
  <tableStyleInfo name="TableStyleLight13"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519D90ED-DD66-4A2C-A655-76312B4590C3}" name="Table43642131149205" displayName="Table43642131149205" ref="BN33:BP35" totalsRowShown="0" headerRowDxfId="146" dataDxfId="145">
  <autoFilter ref="BN33:BP35" xr:uid="{2073E666-72A2-4411-8B22-C40F2A801C35}"/>
  <tableColumns count="3">
    <tableColumn id="1" xr3:uid="{161BE41A-4E62-4335-A854-62C3D717BC99}" name="Metric" dataDxfId="144"/>
    <tableColumn id="2" xr3:uid="{DE55DCC6-08D4-420A-A948-AC63AD3DB675}" name="Amount" dataDxfId="143">
      <calculatedColumnFormula>'Data Entry'!M26</calculatedColumnFormula>
    </tableColumn>
    <tableColumn id="3" xr3:uid="{13F1E58D-2087-459D-9DEF-D7140AA0E784}" name="Monthly Change" dataDxfId="142">
      <calculatedColumnFormula>'Data Entry'!AJ26</calculatedColumnFormula>
    </tableColumn>
  </tableColumns>
  <tableStyleInfo name="TableStyleMedium9"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620BC1DC-C40E-46FD-841C-AF73A262D25E}" name="Table53743132150206" displayName="Table53743132150206" ref="BN38:BP42" totalsRowShown="0" headerRowDxfId="141" dataDxfId="140">
  <autoFilter ref="BN38:BP42" xr:uid="{3E9A3AC4-D69C-43D0-891B-D2E3D93A5F1F}"/>
  <tableColumns count="3">
    <tableColumn id="1" xr3:uid="{27DB66D9-BB95-4C42-BD54-3A2E0623F556}" name="Metric" dataDxfId="139"/>
    <tableColumn id="2" xr3:uid="{84AE8AB5-CA30-4154-BEA2-5CA88CABEA24}" name="Amount" dataDxfId="138">
      <calculatedColumnFormula>'Data Entry'!M28</calculatedColumnFormula>
    </tableColumn>
    <tableColumn id="3" xr3:uid="{6ED13310-683B-475A-BEA2-D8DF7DE6AB5E}" name="Monthly Change" dataDxfId="137">
      <calculatedColumnFormula>'Data Entry'!AJ28</calculatedColumnFormula>
    </tableColumn>
  </tableColumns>
  <tableStyleInfo name="TableStyleLight9"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6291EBB7-98E3-4551-808F-93531D335E49}" name="Table63844133151207" displayName="Table63844133151207" ref="BN45:BP48" totalsRowShown="0" headerRowDxfId="136" dataDxfId="135">
  <autoFilter ref="BN45:BP48" xr:uid="{0D24FDBD-8BC9-4690-9158-B236512AC4B3}"/>
  <tableColumns count="3">
    <tableColumn id="1" xr3:uid="{2DEFF91B-52F2-4AAF-BFF2-BF27BA0E0019}" name="Metric" dataDxfId="134"/>
    <tableColumn id="2" xr3:uid="{06A8DC2F-23FA-4BB4-86DC-D8FBB798F7BD}" name="Amount" dataDxfId="133">
      <calculatedColumnFormula>'Data Entry'!M32</calculatedColumnFormula>
    </tableColumn>
    <tableColumn id="3" xr3:uid="{7B202DF4-AA87-4307-B2F2-53119653FC80}" name="Monthly Change" dataDxfId="132">
      <calculatedColumnFormula>'Data Entry'!AJ32</calculatedColumnFormula>
    </tableColumn>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0BCDCDB2-CC04-4172-BCCF-ACDFD0B4FEEE}" name="Table13339128146224208" displayName="Table13339128146224208" ref="BU3:BW14" totalsRowShown="0" headerRowDxfId="131" dataDxfId="130">
  <autoFilter ref="BU3:BW14" xr:uid="{08B1AC34-3EA1-4989-BE2F-7E1E020DD2A4}"/>
  <tableColumns count="3">
    <tableColumn id="1" xr3:uid="{BBF99BD4-14F6-4B7E-B53E-E5C3DFD757BB}" name="Metric" dataDxfId="129"/>
    <tableColumn id="2" xr3:uid="{183893E9-2A2A-4E93-8AF9-3C9F047BC36C}" name="Amount" dataDxfId="128">
      <calculatedColumnFormula>'Data Entry'!N5</calculatedColumnFormula>
    </tableColumn>
    <tableColumn id="3" xr3:uid="{29784344-6596-4A41-8C7F-E0EEAE5D6C69}" name="Monthly Change" dataDxfId="127">
      <calculatedColumnFormula>'Data Entry'!AK5</calculatedColumnFormula>
    </tableColumn>
  </tableColumns>
  <tableStyleInfo name="TableStyleMedium1"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30696EC7-CF56-4781-94F5-2462E6F2D0FA}" name="Table23440129147225209" displayName="Table23440129147225209" ref="BU26:BW30" totalsRowShown="0" headerRowDxfId="126" dataDxfId="125">
  <autoFilter ref="BU26:BW30" xr:uid="{4DFB3C50-32FF-42FD-9F9D-4E987F70AC46}"/>
  <tableColumns count="3">
    <tableColumn id="1" xr3:uid="{423AC5D7-74AF-47C5-8E40-128E03AA2D0C}" name="Metric" dataDxfId="124"/>
    <tableColumn id="2" xr3:uid="{A4B307DE-3EF4-4464-9958-BFB73296047C}" name="Amount" dataDxfId="123">
      <calculatedColumnFormula>'Data Entry'!N22</calculatedColumnFormula>
    </tableColumn>
    <tableColumn id="3" xr3:uid="{CE1E2F6A-EF03-4AEB-B7BA-D4541F5848D9}" name="Monthly Change" dataDxfId="122">
      <calculatedColumnFormula>'Data Entry'!AK22</calculatedColumnFormula>
    </tableColumn>
  </tableColumns>
  <tableStyleInfo name="TableStyleMedium6"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AA8CFD7-379B-44A0-8155-23A0B8A0FBAD}" name="Table33541130148226210" displayName="Table33541130148226210" ref="BU17:BW23" totalsRowShown="0" headerRowDxfId="121" dataDxfId="120">
  <autoFilter ref="BU17:BW23" xr:uid="{1D8D44A1-7071-4E5F-A5DE-759701C84003}"/>
  <tableColumns count="3">
    <tableColumn id="1" xr3:uid="{524101A5-FD66-4414-80A3-98B5F1B7CB8B}" name="Metric" dataDxfId="119"/>
    <tableColumn id="2" xr3:uid="{05E1E116-AAFA-43CB-A92E-07E4E85652E6}" name="Amount" dataDxfId="118">
      <calculatedColumnFormula>'Data Entry'!N16</calculatedColumnFormula>
    </tableColumn>
    <tableColumn id="3" xr3:uid="{D5621E69-DB2C-4DAF-95FD-EE971201AF0E}" name="Monthly Change" dataDxfId="117">
      <calculatedColumnFormula>'Data Entry'!AK16</calculatedColumnFormula>
    </tableColumn>
  </tableColumns>
  <tableStyleInfo name="TableStyleLight13"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2F7D311F-1FE1-419A-B59E-DFA1CF0CE2DC}" name="Table43642131149227211" displayName="Table43642131149227211" ref="BU33:BW35" totalsRowShown="0" headerRowDxfId="116" dataDxfId="115">
  <autoFilter ref="BU33:BW35" xr:uid="{AB8B1E68-F653-4DD4-9AA9-7E92BEA9F8D6}"/>
  <tableColumns count="3">
    <tableColumn id="1" xr3:uid="{96E5C3E5-FC86-4621-92A5-0C59F3C9F6AB}" name="Metric" dataDxfId="114"/>
    <tableColumn id="2" xr3:uid="{71C14E25-DF5F-4AC2-844B-FC3EFBBBDF7A}" name="Amount" dataDxfId="113">
      <calculatedColumnFormula>'Data Entry'!N26</calculatedColumnFormula>
    </tableColumn>
    <tableColumn id="3" xr3:uid="{C61A681F-7D21-4C27-B46F-7F1C3E3D3608}" name="Monthly Change" dataDxfId="112">
      <calculatedColumnFormula>'Data Entry'!AK26</calculatedColumnFormula>
    </tableColumn>
  </tableColumns>
  <tableStyleInfo name="TableStyleMedium9"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E7D6C412-1B4A-44A2-A5F0-CEBDF3B69E23}" name="Table53743132150228212" displayName="Table53743132150228212" ref="BU38:BW42" totalsRowShown="0" headerRowDxfId="111" dataDxfId="110">
  <autoFilter ref="BU38:BW42" xr:uid="{DD772D35-4268-4F05-95D0-EE4F66486577}"/>
  <tableColumns count="3">
    <tableColumn id="1" xr3:uid="{41085193-B95C-416C-9B2A-C4DEE795D15B}" name="Metric" dataDxfId="109"/>
    <tableColumn id="2" xr3:uid="{2941E1FB-1F39-4499-9046-EF9049A9B70D}" name="Amount" dataDxfId="108">
      <calculatedColumnFormula>'Data Entry'!N28</calculatedColumnFormula>
    </tableColumn>
    <tableColumn id="3" xr3:uid="{6158A8C7-1BD5-4DFE-85C7-C77E43AD71A9}" name="Monthly Change" dataDxfId="107">
      <calculatedColumnFormula>'Data Entry'!AK28</calculatedColumnFormula>
    </tableColumn>
  </tableColumns>
  <tableStyleInfo name="TableStyleLight9"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0EB6B907-A67F-4CAD-B5C2-24C01CD7D343}" name="Table63844133151229213" displayName="Table63844133151229213" ref="BU45:BW48" totalsRowShown="0" headerRowDxfId="106" dataDxfId="105">
  <autoFilter ref="BU45:BW48" xr:uid="{04AEC588-E690-4C25-BDFF-55A56D69B190}"/>
  <tableColumns count="3">
    <tableColumn id="1" xr3:uid="{71622129-8191-4FA8-9A26-400F21383FE2}" name="Metric" dataDxfId="104"/>
    <tableColumn id="2" xr3:uid="{A7566182-052A-4411-98BE-EC0649221B69}" name="Amount" dataDxfId="103">
      <calculatedColumnFormula>'Data Entry'!N32</calculatedColumnFormula>
    </tableColumn>
    <tableColumn id="3" xr3:uid="{820C6FDF-95B5-4D1E-AC62-5B76B36FDEDB}" name="Monthly Change" dataDxfId="102">
      <calculatedColumnFormula>'Data Entry'!AK32</calculatedColumnFormula>
    </tableColumn>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EBB6410B-ABE4-48B3-A65A-D5A6D4195C39}" name="Table13339128146224230214" displayName="Table13339128146224230214" ref="CC3:CE14" totalsRowShown="0" headerRowDxfId="101" dataDxfId="100">
  <autoFilter ref="CC3:CE14" xr:uid="{9C9CF14B-14E7-4A05-B9A3-6C2B346F5D95}"/>
  <tableColumns count="3">
    <tableColumn id="1" xr3:uid="{3873810A-73FA-4DA3-96B4-AF35F68233A6}" name="Metric" dataDxfId="99"/>
    <tableColumn id="2" xr3:uid="{60F9684E-7A43-409C-919E-F24F8038068C}" name="Amount" dataDxfId="98">
      <calculatedColumnFormula>'Data Entry'!O5</calculatedColumnFormula>
    </tableColumn>
    <tableColumn id="3" xr3:uid="{01C238B7-3117-4F87-969B-10E13752B464}" name="Monthly Change" dataDxfId="97">
      <calculatedColumnFormula>'Data Entry'!AL5</calculatedColumnFormula>
    </tableColumn>
  </tableColumns>
  <tableStyleInfo name="TableStyleMedium1"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F92253E0-0137-4E39-A87F-B3E2285F26A2}" name="Table23440129147225231215" displayName="Table23440129147225231215" ref="CC26:CE30" totalsRowShown="0" headerRowDxfId="96" dataDxfId="95">
  <autoFilter ref="CC26:CE30" xr:uid="{347E9DDF-D085-451F-B7A0-0DA047620EF1}"/>
  <tableColumns count="3">
    <tableColumn id="1" xr3:uid="{557A2070-945A-4E62-9673-65A71BE7CAF4}" name="Metric" dataDxfId="94"/>
    <tableColumn id="2" xr3:uid="{FE63C04C-50B0-4DA9-AE89-E8A856B745BA}" name="Amount" dataDxfId="93">
      <calculatedColumnFormula>'Data Entry'!O22</calculatedColumnFormula>
    </tableColumn>
    <tableColumn id="3" xr3:uid="{EC5601CA-2E85-4763-8789-41D934F87D4F}" name="Monthly Change" dataDxfId="92">
      <calculatedColumnFormula>'Data Entry'!AL22</calculatedColumnFormula>
    </tableColumn>
  </tableColumns>
  <tableStyleInfo name="TableStyleMedium6"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C73B44DB-9AFD-4D50-BDF8-001943867A84}" name="Table33541130148226232216" displayName="Table33541130148226232216" ref="CC17:CE23" totalsRowShown="0" headerRowDxfId="91" dataDxfId="90">
  <autoFilter ref="CC17:CE23" xr:uid="{2F337E16-1E8A-44D0-813C-DE14FCA280CA}"/>
  <tableColumns count="3">
    <tableColumn id="1" xr3:uid="{328D8A7C-20E6-4B88-910A-9EA04DA8AC90}" name="Metric" dataDxfId="89"/>
    <tableColumn id="2" xr3:uid="{2763783A-1D6F-4178-B2B1-DF03825FA37B}" name="Amount" dataDxfId="88">
      <calculatedColumnFormula>'Data Entry'!O16</calculatedColumnFormula>
    </tableColumn>
    <tableColumn id="3" xr3:uid="{FC34B752-C2DA-4033-A51A-DE1E58100A52}" name="Monthly Change" dataDxfId="87">
      <calculatedColumnFormula>'Data Entry'!AL16</calculatedColumnFormula>
    </tableColumn>
  </tableColumns>
  <tableStyleInfo name="TableStyleLight13"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2F915110-8CF0-4DAD-9D23-41B9EC454257}" name="Table43642131149227233217" displayName="Table43642131149227233217" ref="CC33:CE35" totalsRowShown="0" headerRowDxfId="86" dataDxfId="85">
  <autoFilter ref="CC33:CE35" xr:uid="{CC11999A-8FDA-4502-99FD-FADD74B18C63}"/>
  <tableColumns count="3">
    <tableColumn id="1" xr3:uid="{EEA30501-0106-432C-A712-A5FCDE52D1CD}" name="Metric" dataDxfId="84"/>
    <tableColumn id="2" xr3:uid="{8E7472BE-9B05-470A-970D-39899A348BBE}" name="Amount" dataDxfId="83">
      <calculatedColumnFormula>'Data Entry'!O26</calculatedColumnFormula>
    </tableColumn>
    <tableColumn id="3" xr3:uid="{AF64B772-E953-44C8-AC19-11053BC3AB1C}" name="Monthly Change" dataDxfId="82">
      <calculatedColumnFormula>'Data Entry'!AL26</calculatedColumnFormula>
    </tableColumn>
  </tableColumns>
  <tableStyleInfo name="TableStyleMedium9"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DC36ED92-AC51-45A1-B448-920E919E7070}" name="Table53743132150228234218" displayName="Table53743132150228234218" ref="CC38:CE42" totalsRowShown="0" headerRowDxfId="81" dataDxfId="80">
  <autoFilter ref="CC38:CE42" xr:uid="{19791AC9-3467-4DA6-A1C4-5485D7DDA87F}"/>
  <tableColumns count="3">
    <tableColumn id="1" xr3:uid="{83B76E77-6F61-4D20-BF9E-7D0301F7DD6A}" name="Metric" dataDxfId="79"/>
    <tableColumn id="2" xr3:uid="{18F18964-3E49-41A0-AE9C-01BD47A8FCDA}" name="Amount" dataDxfId="78">
      <calculatedColumnFormula>'Data Entry'!O28</calculatedColumnFormula>
    </tableColumn>
    <tableColumn id="3" xr3:uid="{4E37DECC-6FC7-44D6-8B96-FF2E724E8B5F}" name="Monthly Change" dataDxfId="77">
      <calculatedColumnFormula>'Data Entry'!AL28</calculatedColumnFormula>
    </tableColumn>
  </tableColumns>
  <tableStyleInfo name="TableStyleLight9"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A2FA31D3-107C-4BE9-82F1-43516E875AF2}" name="Table63844133151229235219" displayName="Table63844133151229235219" ref="CC45:CE48" totalsRowShown="0" headerRowDxfId="76" dataDxfId="75">
  <autoFilter ref="CC45:CE48" xr:uid="{1DA70944-EA8F-4434-AC02-55A373C8C6C3}"/>
  <tableColumns count="3">
    <tableColumn id="1" xr3:uid="{C2A0EFF6-55A6-4581-9669-E12D83AEEA41}" name="Metric" dataDxfId="74"/>
    <tableColumn id="2" xr3:uid="{8D6E9C17-7633-4FDA-8E83-064D976F85B3}" name="Amount" dataDxfId="73">
      <calculatedColumnFormula>'Data Entry'!O32</calculatedColumnFormula>
    </tableColumn>
    <tableColumn id="3" xr3:uid="{2ADC98C3-A99F-4741-8FC4-459529EC811D}" name="Monthly Change" dataDxfId="72">
      <calculatedColumnFormula>'Data Entry'!AL32</calculatedColumnFormula>
    </tableColumn>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76A216E9-B109-43F5-AD5D-AA4BF182201A}" name="Table13339128146224230236220" displayName="Table13339128146224230236220" ref="CK3:CM14" totalsRowShown="0" headerRowDxfId="71" dataDxfId="70">
  <autoFilter ref="CK3:CM14" xr:uid="{21BCFFFD-7DCD-46AB-90D9-173DC65BEC0E}"/>
  <tableColumns count="3">
    <tableColumn id="1" xr3:uid="{12D0BD08-6812-4F6D-97F7-2A425C446965}" name="Metric" dataDxfId="69"/>
    <tableColumn id="2" xr3:uid="{6C74AAD2-41CC-4E87-9C67-B6CD9BEC03AF}" name="Amount" dataDxfId="68">
      <calculatedColumnFormula>'Data Entry'!P5</calculatedColumnFormula>
    </tableColumn>
    <tableColumn id="3" xr3:uid="{B3BCEABF-47F4-4109-8C97-DF8AA2A81EB7}" name="Monthly Change" dataDxfId="67">
      <calculatedColumnFormula>'Data Entry'!AM5</calculatedColumnFormula>
    </tableColumn>
  </tableColumns>
  <tableStyleInfo name="TableStyleMedium1"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2367E02F-0F85-4772-B204-E582586ED180}" name="Table23440129147225231237221" displayName="Table23440129147225231237221" ref="CK26:CM30" totalsRowShown="0" headerRowDxfId="66" dataDxfId="65">
  <autoFilter ref="CK26:CM30" xr:uid="{A22A994A-89E1-459A-AA78-DEBF36E687DC}"/>
  <tableColumns count="3">
    <tableColumn id="1" xr3:uid="{0DD883EA-C6A5-4C1A-8A56-E5F8F551E65A}" name="Metric" dataDxfId="64"/>
    <tableColumn id="2" xr3:uid="{7CEA37ED-1EF8-46CC-8E48-433A29000901}" name="Amount" dataDxfId="63">
      <calculatedColumnFormula>'Data Entry'!P22</calculatedColumnFormula>
    </tableColumn>
    <tableColumn id="3" xr3:uid="{CD5AEAE6-0CE5-4F04-8156-00DFF0376049}" name="Monthly Change" dataDxfId="62">
      <calculatedColumnFormula>'Data Entry'!AM22</calculatedColumnFormula>
    </tableColumn>
  </tableColumns>
  <tableStyleInfo name="TableStyleMedium6"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E0302E49-C529-469C-BBC5-5C9A684D7026}" name="Table33541130148226232238222" displayName="Table33541130148226232238222" ref="CK17:CM23" totalsRowShown="0" headerRowDxfId="61" dataDxfId="60">
  <autoFilter ref="CK17:CM23" xr:uid="{4E049095-A045-49F0-A4FB-5F7DCAF1BFD1}"/>
  <tableColumns count="3">
    <tableColumn id="1" xr3:uid="{29F60D5F-1A6C-415F-AC1F-006229E8388C}" name="Metric" dataDxfId="59"/>
    <tableColumn id="2" xr3:uid="{54242264-6FCB-4D5E-8C93-67924A0E15F9}" name="Amount" dataDxfId="58">
      <calculatedColumnFormula>'Data Entry'!P16</calculatedColumnFormula>
    </tableColumn>
    <tableColumn id="3" xr3:uid="{FCFA6FF9-84BA-4A2D-B1DD-184189AD736D}" name="Monthly Change" dataDxfId="57">
      <calculatedColumnFormula>'Data Entry'!AM16</calculatedColumnFormula>
    </tableColumn>
  </tableColumns>
  <tableStyleInfo name="TableStyleLight13"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BA119D94-B939-413D-BE8B-9950B5193B8A}" name="Table43642131149227233239223" displayName="Table43642131149227233239223" ref="CK33:CM35" totalsRowShown="0" headerRowDxfId="56" dataDxfId="55">
  <autoFilter ref="CK33:CM35" xr:uid="{160DB07E-7259-4571-BEF1-E6DB9BCD24BE}"/>
  <tableColumns count="3">
    <tableColumn id="1" xr3:uid="{12AEBE5A-9F7E-4951-B61C-35E8521B4CEB}" name="Metric" dataDxfId="54"/>
    <tableColumn id="2" xr3:uid="{8FD692DA-16BD-41FF-A042-7A54508E4498}" name="Amount" dataDxfId="53">
      <calculatedColumnFormula>'Data Entry'!P26</calculatedColumnFormula>
    </tableColumn>
    <tableColumn id="3" xr3:uid="{2A9DE84B-70F6-4818-92A3-54ACAF958D62}" name="Monthly Change" dataDxfId="52">
      <calculatedColumnFormula>'Data Entry'!AM26</calculatedColumnFormula>
    </tableColumn>
  </tableColumns>
  <tableStyleInfo name="TableStyleMedium9"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7" xr:uid="{92F9885C-85CA-4163-BE9D-EB50D752D5F2}" name="Table53743132150228234240248" displayName="Table53743132150228234240248" ref="CK38:CM42" totalsRowShown="0" headerRowDxfId="51" dataDxfId="50">
  <autoFilter ref="CK38:CM42" xr:uid="{206D9F3D-D2A6-419F-B731-44342367113D}"/>
  <tableColumns count="3">
    <tableColumn id="1" xr3:uid="{D9B3C844-A184-4B15-896C-BAE0D9F3F7CA}" name="Metric" dataDxfId="49"/>
    <tableColumn id="2" xr3:uid="{BA9CFB6D-C79A-4FE0-ACBB-EF3FB2C8B12D}" name="Amount" dataDxfId="48">
      <calculatedColumnFormula>'Data Entry'!P28</calculatedColumnFormula>
    </tableColumn>
    <tableColumn id="3" xr3:uid="{7720BCD0-3FE1-4920-AAE8-5C5B3D057F33}" name="Monthly Change" dataDxfId="47">
      <calculatedColumnFormula>'Data Entry'!AM28</calculatedColumnFormula>
    </tableColumn>
  </tableColumns>
  <tableStyleInfo name="TableStyleLight9"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9E64EDCE-9ACA-4E78-8294-6BF6EB1716AB}" name="Table63844133151229235241262" displayName="Table63844133151229235241262" ref="CK45:CM48" totalsRowShown="0" headerRowDxfId="46" dataDxfId="45">
  <autoFilter ref="CK45:CM48" xr:uid="{1BA8D776-5153-4BC9-891E-E20E9AA5F432}"/>
  <tableColumns count="3">
    <tableColumn id="1" xr3:uid="{48767136-CEB5-48BF-AA3C-536F9FDF4561}" name="Metric" dataDxfId="44"/>
    <tableColumn id="2" xr3:uid="{8351CC52-9C01-44B8-87EE-448F9CF3631A}" name="Amount" dataDxfId="43">
      <calculatedColumnFormula>'Data Entry'!P32</calculatedColumnFormula>
    </tableColumn>
    <tableColumn id="3" xr3:uid="{4A9DCC19-F7AB-4FAE-A9EB-C6ABDE513F93}" name="Monthly Change" dataDxfId="42">
      <calculatedColumnFormula>'Data Entry'!AM32</calculatedColumnFormula>
    </tableColumn>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9C4CA47D-6A9C-4105-944F-D1CAF2B4AA11}" name="Table13339128146224230236242263" displayName="Table13339128146224230236242263" ref="CS3:CU14" totalsRowShown="0" headerRowDxfId="41" dataDxfId="40">
  <autoFilter ref="CS3:CU14" xr:uid="{63367714-6963-4772-A3D5-A72F13A77FC8}"/>
  <tableColumns count="3">
    <tableColumn id="1" xr3:uid="{47F056B7-CC5B-4845-87F7-29B3A3DE375E}" name="Metric" dataDxfId="39"/>
    <tableColumn id="2" xr3:uid="{70897EF7-3489-4F02-9AC6-D8BB2A486F83}" name="Amount" dataDxfId="38">
      <calculatedColumnFormula>'Data Entry'!Q5</calculatedColumnFormula>
    </tableColumn>
    <tableColumn id="3" xr3:uid="{A05CBCBE-1230-47E9-8576-D33A39DFEBBB}" name="Monthly Change" dataDxfId="37">
      <calculatedColumnFormula>'Data Entry'!AN5</calculatedColumnFormula>
    </tableColumn>
  </tableColumns>
  <tableStyleInfo name="TableStyleMedium1"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D3865E0F-2452-478F-8AB9-17F656FE19BB}" name="Table23440129147225231237243264" displayName="Table23440129147225231237243264" ref="CS26:CU30" totalsRowShown="0" headerRowDxfId="36" dataDxfId="35">
  <autoFilter ref="CS26:CU30" xr:uid="{FBE9D6D0-4892-4874-812A-CE1622379696}"/>
  <tableColumns count="3">
    <tableColumn id="1" xr3:uid="{0D5503AF-34C5-4DCC-B0BB-FE5EF3705BAC}" name="Metric" dataDxfId="34"/>
    <tableColumn id="2" xr3:uid="{2A1D2F3D-8D76-4CD8-BA4A-EBFA3BA85379}" name="Amount" dataDxfId="33">
      <calculatedColumnFormula>'Data Entry'!Q22</calculatedColumnFormula>
    </tableColumn>
    <tableColumn id="3" xr3:uid="{6C518377-F659-4C65-936A-D7D61DE61B0B}" name="Monthly Change" dataDxfId="32">
      <calculatedColumnFormula>'Data Entry'!AN22</calculatedColumnFormula>
    </tableColumn>
  </tableColumns>
  <tableStyleInfo name="TableStyleMedium6"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9C433743-E202-40B6-8334-4CDF6E7DD272}" name="Table33541130148226232238244265" displayName="Table33541130148226232238244265" ref="CS17:CU23" totalsRowShown="0" headerRowDxfId="31" dataDxfId="30">
  <autoFilter ref="CS17:CU23" xr:uid="{53F00B89-3F8F-48BB-85F7-94F68CB7A9AF}"/>
  <tableColumns count="3">
    <tableColumn id="1" xr3:uid="{4F55B905-FC6C-4E6F-B815-259050E1BE53}" name="Metric" dataDxfId="29"/>
    <tableColumn id="2" xr3:uid="{C4B1F99F-5BA3-4FB9-96D4-C4C09F62FD44}" name="Amount" dataDxfId="28">
      <calculatedColumnFormula>'Data Entry'!Q16</calculatedColumnFormula>
    </tableColumn>
    <tableColumn id="3" xr3:uid="{CC8B4336-25AD-45B1-B5FE-ADCA4397D48A}" name="Monthly Change" dataDxfId="27">
      <calculatedColumnFormula>'Data Entry'!AN16</calculatedColumnFormula>
    </tableColumn>
  </tableColumns>
  <tableStyleInfo name="TableStyleLight13"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6EDD427A-2082-47EE-906C-9A3B242D3F2C}" name="Table43642131149227233239245266" displayName="Table43642131149227233239245266" ref="CS33:CU35" totalsRowShown="0" headerRowDxfId="26" dataDxfId="25">
  <autoFilter ref="CS33:CU35" xr:uid="{853F0CD5-0D57-4313-BCDC-1DD4DDAD0B9F}"/>
  <tableColumns count="3">
    <tableColumn id="1" xr3:uid="{F8387B7B-A7B7-40F9-85C3-1369C8DA387E}" name="Metric" dataDxfId="24"/>
    <tableColumn id="2" xr3:uid="{93B15F5B-8E55-4A35-A0BC-5DFAF03B13AB}" name="Amount" dataDxfId="23">
      <calculatedColumnFormula>'Data Entry'!Q26</calculatedColumnFormula>
    </tableColumn>
    <tableColumn id="3" xr3:uid="{4FDB68D2-3660-4AE3-9B8F-C7AE35D01A1C}" name="Monthly Change" dataDxfId="22">
      <calculatedColumnFormula>'Data Entry'!AN26</calculatedColumnFormula>
    </tableColumn>
  </tableColumns>
  <tableStyleInfo name="TableStyleMedium9"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367EBD41-B016-4C3D-987D-3EE3BCE9031B}" name="Table53743132150228234240246267" displayName="Table53743132150228234240246267" ref="CS38:CU42" totalsRowShown="0" headerRowDxfId="21" dataDxfId="20">
  <autoFilter ref="CS38:CU42" xr:uid="{C54DED7C-EFCC-49BD-AC70-176E879B625B}"/>
  <tableColumns count="3">
    <tableColumn id="1" xr3:uid="{C88FD48C-3B20-41DE-B5F9-5A860CF74C32}" name="Metric" dataDxfId="19"/>
    <tableColumn id="2" xr3:uid="{AF257163-2718-45DA-B5C5-EDC7C3C65BF1}" name="Amount" dataDxfId="18">
      <calculatedColumnFormula>'Data Entry'!Q28</calculatedColumnFormula>
    </tableColumn>
    <tableColumn id="3" xr3:uid="{8A5CE494-E97E-4F0E-A703-3A6805F1A56E}" name="Monthly Change" dataDxfId="17">
      <calculatedColumnFormula>'Data Entry'!AN28</calculatedColumnFormula>
    </tableColumn>
  </tableColumns>
  <tableStyleInfo name="TableStyleLight9"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AAC41340-D1D9-4145-84AA-DAAEB90BE42D}" name="Table63844133151229235241247268" displayName="Table63844133151229235241247268" ref="CS45:CU48" totalsRowShown="0" headerRowDxfId="16" dataDxfId="15">
  <autoFilter ref="CS45:CU48" xr:uid="{F7311865-C5B9-4F73-BEB7-078C3559741C}"/>
  <tableColumns count="3">
    <tableColumn id="1" xr3:uid="{1DC32068-C404-4146-8466-08AC140536E2}" name="Metric" dataDxfId="14"/>
    <tableColumn id="2" xr3:uid="{019DD4BF-0DF2-435F-B0E2-0780B9732F6A}" name="Amount" dataDxfId="13">
      <calculatedColumnFormula>'Data Entry'!Q32</calculatedColumnFormula>
    </tableColumn>
    <tableColumn id="3" xr3:uid="{411CF9CE-25E4-42DF-85C9-6E2AB645C4AA}" name="Monthly Change" dataDxfId="12">
      <calculatedColumnFormula>'Data Entry'!AN32</calculatedColumnFormula>
    </tableColumn>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58F08D5A-4296-406C-8561-53BF9BFE8B59}" name="WomData_1" displayName="WomData_1" ref="A23:C443" tableType="queryTable" totalsRowShown="0" headerRowDxfId="5" dataDxfId="4">
  <autoFilter ref="A23:C443" xr:uid="{58F08D5A-4296-406C-8561-53BF9BFE8B59}"/>
  <tableColumns count="3">
    <tableColumn id="1" xr3:uid="{5C75283E-8F3C-45B9-9850-9F84BB5CEA1D}" uniqueName="1" name="Metric" queryTableFieldId="1" dataDxfId="3"/>
    <tableColumn id="2" xr3:uid="{F0A6F2CA-D135-4710-B979-7B2523F14DB2}" uniqueName="2" name="Month" queryTableFieldId="2" dataDxfId="2"/>
    <tableColumn id="3" xr3:uid="{9DCB06B2-A127-4643-BB5E-01B5039AD3D6}" uniqueName="3" name="Value" queryTableFieldId="3"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6" Type="http://schemas.openxmlformats.org/officeDocument/2006/relationships/table" Target="../tables/table27.xml"/><Relationship Id="rId21" Type="http://schemas.openxmlformats.org/officeDocument/2006/relationships/table" Target="../tables/table22.xml"/><Relationship Id="rId42" Type="http://schemas.openxmlformats.org/officeDocument/2006/relationships/table" Target="../tables/table43.xml"/><Relationship Id="rId47" Type="http://schemas.openxmlformats.org/officeDocument/2006/relationships/table" Target="../tables/table48.xml"/><Relationship Id="rId63" Type="http://schemas.openxmlformats.org/officeDocument/2006/relationships/table" Target="../tables/table64.xml"/><Relationship Id="rId68" Type="http://schemas.openxmlformats.org/officeDocument/2006/relationships/table" Target="../tables/table69.xml"/><Relationship Id="rId16" Type="http://schemas.openxmlformats.org/officeDocument/2006/relationships/table" Target="../tables/table17.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3" Type="http://schemas.openxmlformats.org/officeDocument/2006/relationships/table" Target="../tables/table54.xml"/><Relationship Id="rId58" Type="http://schemas.openxmlformats.org/officeDocument/2006/relationships/table" Target="../tables/table59.xml"/><Relationship Id="rId66" Type="http://schemas.openxmlformats.org/officeDocument/2006/relationships/table" Target="../tables/table67.xml"/><Relationship Id="rId74" Type="http://schemas.openxmlformats.org/officeDocument/2006/relationships/table" Target="../tables/table75.xml"/><Relationship Id="rId79" Type="http://schemas.openxmlformats.org/officeDocument/2006/relationships/table" Target="../tables/table80.xml"/><Relationship Id="rId5" Type="http://schemas.openxmlformats.org/officeDocument/2006/relationships/table" Target="../tables/table6.xml"/><Relationship Id="rId61" Type="http://schemas.openxmlformats.org/officeDocument/2006/relationships/table" Target="../tables/table62.xml"/><Relationship Id="rId19" Type="http://schemas.openxmlformats.org/officeDocument/2006/relationships/table" Target="../tables/table2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56" Type="http://schemas.openxmlformats.org/officeDocument/2006/relationships/table" Target="../tables/table57.xml"/><Relationship Id="rId64" Type="http://schemas.openxmlformats.org/officeDocument/2006/relationships/table" Target="../tables/table65.xml"/><Relationship Id="rId69" Type="http://schemas.openxmlformats.org/officeDocument/2006/relationships/table" Target="../tables/table70.xml"/><Relationship Id="rId77" Type="http://schemas.openxmlformats.org/officeDocument/2006/relationships/table" Target="../tables/table78.xml"/><Relationship Id="rId8" Type="http://schemas.openxmlformats.org/officeDocument/2006/relationships/table" Target="../tables/table9.xml"/><Relationship Id="rId51" Type="http://schemas.openxmlformats.org/officeDocument/2006/relationships/table" Target="../tables/table52.xml"/><Relationship Id="rId72" Type="http://schemas.openxmlformats.org/officeDocument/2006/relationships/table" Target="../tables/table73.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59" Type="http://schemas.openxmlformats.org/officeDocument/2006/relationships/table" Target="../tables/table60.xml"/><Relationship Id="rId67" Type="http://schemas.openxmlformats.org/officeDocument/2006/relationships/table" Target="../tables/table68.xml"/><Relationship Id="rId20" Type="http://schemas.openxmlformats.org/officeDocument/2006/relationships/table" Target="../tables/table21.xml"/><Relationship Id="rId41" Type="http://schemas.openxmlformats.org/officeDocument/2006/relationships/table" Target="../tables/table42.xml"/><Relationship Id="rId54" Type="http://schemas.openxmlformats.org/officeDocument/2006/relationships/table" Target="../tables/table55.xml"/><Relationship Id="rId62" Type="http://schemas.openxmlformats.org/officeDocument/2006/relationships/table" Target="../tables/table63.xml"/><Relationship Id="rId70" Type="http://schemas.openxmlformats.org/officeDocument/2006/relationships/table" Target="../tables/table71.xml"/><Relationship Id="rId75" Type="http://schemas.openxmlformats.org/officeDocument/2006/relationships/table" Target="../tables/table76.xml"/><Relationship Id="rId1" Type="http://schemas.openxmlformats.org/officeDocument/2006/relationships/printerSettings" Target="../printerSettings/printerSettings1.bin"/><Relationship Id="rId6" Type="http://schemas.openxmlformats.org/officeDocument/2006/relationships/table" Target="../tables/table7.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table" Target="../tables/table50.xml"/><Relationship Id="rId57" Type="http://schemas.openxmlformats.org/officeDocument/2006/relationships/table" Target="../tables/table58.xml"/><Relationship Id="rId10" Type="http://schemas.openxmlformats.org/officeDocument/2006/relationships/table" Target="../tables/table11.xml"/><Relationship Id="rId31" Type="http://schemas.openxmlformats.org/officeDocument/2006/relationships/table" Target="../tables/table32.xml"/><Relationship Id="rId44" Type="http://schemas.openxmlformats.org/officeDocument/2006/relationships/table" Target="../tables/table45.xml"/><Relationship Id="rId52" Type="http://schemas.openxmlformats.org/officeDocument/2006/relationships/table" Target="../tables/table53.xml"/><Relationship Id="rId60" Type="http://schemas.openxmlformats.org/officeDocument/2006/relationships/table" Target="../tables/table61.xml"/><Relationship Id="rId65" Type="http://schemas.openxmlformats.org/officeDocument/2006/relationships/table" Target="../tables/table66.xml"/><Relationship Id="rId73" Type="http://schemas.openxmlformats.org/officeDocument/2006/relationships/table" Target="../tables/table74.xml"/><Relationship Id="rId78" Type="http://schemas.openxmlformats.org/officeDocument/2006/relationships/table" Target="../tables/table79.xml"/><Relationship Id="rId4" Type="http://schemas.openxmlformats.org/officeDocument/2006/relationships/table" Target="../tables/table5.xml"/><Relationship Id="rId9" Type="http://schemas.openxmlformats.org/officeDocument/2006/relationships/table" Target="../tables/table10.xml"/><Relationship Id="rId13" Type="http://schemas.openxmlformats.org/officeDocument/2006/relationships/table" Target="../tables/table14.xml"/><Relationship Id="rId18" Type="http://schemas.openxmlformats.org/officeDocument/2006/relationships/table" Target="../tables/table19.xml"/><Relationship Id="rId39" Type="http://schemas.openxmlformats.org/officeDocument/2006/relationships/table" Target="../tables/table40.xml"/><Relationship Id="rId34" Type="http://schemas.openxmlformats.org/officeDocument/2006/relationships/table" Target="../tables/table35.xml"/><Relationship Id="rId50" Type="http://schemas.openxmlformats.org/officeDocument/2006/relationships/table" Target="../tables/table51.xml"/><Relationship Id="rId55" Type="http://schemas.openxmlformats.org/officeDocument/2006/relationships/table" Target="../tables/table56.xml"/><Relationship Id="rId76" Type="http://schemas.openxmlformats.org/officeDocument/2006/relationships/table" Target="../tables/table77.xml"/><Relationship Id="rId7" Type="http://schemas.openxmlformats.org/officeDocument/2006/relationships/table" Target="../tables/table8.xml"/><Relationship Id="rId71" Type="http://schemas.openxmlformats.org/officeDocument/2006/relationships/table" Target="../tables/table72.xml"/><Relationship Id="rId2" Type="http://schemas.openxmlformats.org/officeDocument/2006/relationships/table" Target="../tables/table3.xml"/><Relationship Id="rId29" Type="http://schemas.openxmlformats.org/officeDocument/2006/relationships/table" Target="../tables/table30.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1.xml"/><Relationship Id="rId2" Type="http://schemas.openxmlformats.org/officeDocument/2006/relationships/drawing" Target="../drawings/drawing4.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3.xml"/><Relationship Id="rId1" Type="http://schemas.openxmlformats.org/officeDocument/2006/relationships/table" Target="../tables/table82.xml"/></Relationships>
</file>

<file path=xl/worksheets/_rels/sheet8.xml.rels><?xml version="1.0" encoding="UTF-8" standalone="yes"?>
<Relationships xmlns="http://schemas.openxmlformats.org/package/2006/relationships"><Relationship Id="rId26" Type="http://schemas.openxmlformats.org/officeDocument/2006/relationships/table" Target="../tables/table108.xml"/><Relationship Id="rId21" Type="http://schemas.openxmlformats.org/officeDocument/2006/relationships/table" Target="../tables/table103.xml"/><Relationship Id="rId42" Type="http://schemas.openxmlformats.org/officeDocument/2006/relationships/table" Target="../tables/table124.xml"/><Relationship Id="rId47" Type="http://schemas.openxmlformats.org/officeDocument/2006/relationships/table" Target="../tables/table129.xml"/><Relationship Id="rId63" Type="http://schemas.openxmlformats.org/officeDocument/2006/relationships/table" Target="../tables/table145.xml"/><Relationship Id="rId68" Type="http://schemas.openxmlformats.org/officeDocument/2006/relationships/table" Target="../tables/table150.xml"/><Relationship Id="rId16" Type="http://schemas.openxmlformats.org/officeDocument/2006/relationships/table" Target="../tables/table98.xml"/><Relationship Id="rId11" Type="http://schemas.openxmlformats.org/officeDocument/2006/relationships/table" Target="../tables/table93.xml"/><Relationship Id="rId24" Type="http://schemas.openxmlformats.org/officeDocument/2006/relationships/table" Target="../tables/table106.xml"/><Relationship Id="rId32" Type="http://schemas.openxmlformats.org/officeDocument/2006/relationships/table" Target="../tables/table114.xml"/><Relationship Id="rId37" Type="http://schemas.openxmlformats.org/officeDocument/2006/relationships/table" Target="../tables/table119.xml"/><Relationship Id="rId40" Type="http://schemas.openxmlformats.org/officeDocument/2006/relationships/table" Target="../tables/table122.xml"/><Relationship Id="rId45" Type="http://schemas.openxmlformats.org/officeDocument/2006/relationships/table" Target="../tables/table127.xml"/><Relationship Id="rId53" Type="http://schemas.openxmlformats.org/officeDocument/2006/relationships/table" Target="../tables/table135.xml"/><Relationship Id="rId58" Type="http://schemas.openxmlformats.org/officeDocument/2006/relationships/table" Target="../tables/table140.xml"/><Relationship Id="rId66" Type="http://schemas.openxmlformats.org/officeDocument/2006/relationships/table" Target="../tables/table148.xml"/><Relationship Id="rId74" Type="http://schemas.openxmlformats.org/officeDocument/2006/relationships/table" Target="../tables/table156.xml"/><Relationship Id="rId79" Type="http://schemas.openxmlformats.org/officeDocument/2006/relationships/table" Target="../tables/table161.xml"/><Relationship Id="rId5" Type="http://schemas.openxmlformats.org/officeDocument/2006/relationships/table" Target="../tables/table87.xml"/><Relationship Id="rId61" Type="http://schemas.openxmlformats.org/officeDocument/2006/relationships/table" Target="../tables/table143.xml"/><Relationship Id="rId19" Type="http://schemas.openxmlformats.org/officeDocument/2006/relationships/table" Target="../tables/table101.xml"/><Relationship Id="rId14" Type="http://schemas.openxmlformats.org/officeDocument/2006/relationships/table" Target="../tables/table96.xml"/><Relationship Id="rId22" Type="http://schemas.openxmlformats.org/officeDocument/2006/relationships/table" Target="../tables/table104.xml"/><Relationship Id="rId27" Type="http://schemas.openxmlformats.org/officeDocument/2006/relationships/table" Target="../tables/table109.xml"/><Relationship Id="rId30" Type="http://schemas.openxmlformats.org/officeDocument/2006/relationships/table" Target="../tables/table112.xml"/><Relationship Id="rId35" Type="http://schemas.openxmlformats.org/officeDocument/2006/relationships/table" Target="../tables/table117.xml"/><Relationship Id="rId43" Type="http://schemas.openxmlformats.org/officeDocument/2006/relationships/table" Target="../tables/table125.xml"/><Relationship Id="rId48" Type="http://schemas.openxmlformats.org/officeDocument/2006/relationships/table" Target="../tables/table130.xml"/><Relationship Id="rId56" Type="http://schemas.openxmlformats.org/officeDocument/2006/relationships/table" Target="../tables/table138.xml"/><Relationship Id="rId64" Type="http://schemas.openxmlformats.org/officeDocument/2006/relationships/table" Target="../tables/table146.xml"/><Relationship Id="rId69" Type="http://schemas.openxmlformats.org/officeDocument/2006/relationships/table" Target="../tables/table151.xml"/><Relationship Id="rId77" Type="http://schemas.openxmlformats.org/officeDocument/2006/relationships/table" Target="../tables/table159.xml"/><Relationship Id="rId8" Type="http://schemas.openxmlformats.org/officeDocument/2006/relationships/table" Target="../tables/table90.xml"/><Relationship Id="rId51" Type="http://schemas.openxmlformats.org/officeDocument/2006/relationships/table" Target="../tables/table133.xml"/><Relationship Id="rId72" Type="http://schemas.openxmlformats.org/officeDocument/2006/relationships/table" Target="../tables/table154.xml"/><Relationship Id="rId3" Type="http://schemas.openxmlformats.org/officeDocument/2006/relationships/table" Target="../tables/table85.xml"/><Relationship Id="rId12" Type="http://schemas.openxmlformats.org/officeDocument/2006/relationships/table" Target="../tables/table94.xml"/><Relationship Id="rId17" Type="http://schemas.openxmlformats.org/officeDocument/2006/relationships/table" Target="../tables/table99.xml"/><Relationship Id="rId25" Type="http://schemas.openxmlformats.org/officeDocument/2006/relationships/table" Target="../tables/table107.xml"/><Relationship Id="rId33" Type="http://schemas.openxmlformats.org/officeDocument/2006/relationships/table" Target="../tables/table115.xml"/><Relationship Id="rId38" Type="http://schemas.openxmlformats.org/officeDocument/2006/relationships/table" Target="../tables/table120.xml"/><Relationship Id="rId46" Type="http://schemas.openxmlformats.org/officeDocument/2006/relationships/table" Target="../tables/table128.xml"/><Relationship Id="rId59" Type="http://schemas.openxmlformats.org/officeDocument/2006/relationships/table" Target="../tables/table141.xml"/><Relationship Id="rId67" Type="http://schemas.openxmlformats.org/officeDocument/2006/relationships/table" Target="../tables/table149.xml"/><Relationship Id="rId20" Type="http://schemas.openxmlformats.org/officeDocument/2006/relationships/table" Target="../tables/table102.xml"/><Relationship Id="rId41" Type="http://schemas.openxmlformats.org/officeDocument/2006/relationships/table" Target="../tables/table123.xml"/><Relationship Id="rId54" Type="http://schemas.openxmlformats.org/officeDocument/2006/relationships/table" Target="../tables/table136.xml"/><Relationship Id="rId62" Type="http://schemas.openxmlformats.org/officeDocument/2006/relationships/table" Target="../tables/table144.xml"/><Relationship Id="rId70" Type="http://schemas.openxmlformats.org/officeDocument/2006/relationships/table" Target="../tables/table152.xml"/><Relationship Id="rId75" Type="http://schemas.openxmlformats.org/officeDocument/2006/relationships/table" Target="../tables/table157.xml"/><Relationship Id="rId1" Type="http://schemas.openxmlformats.org/officeDocument/2006/relationships/printerSettings" Target="../printerSettings/printerSettings2.bin"/><Relationship Id="rId6" Type="http://schemas.openxmlformats.org/officeDocument/2006/relationships/table" Target="../tables/table88.xml"/><Relationship Id="rId15" Type="http://schemas.openxmlformats.org/officeDocument/2006/relationships/table" Target="../tables/table97.xml"/><Relationship Id="rId23" Type="http://schemas.openxmlformats.org/officeDocument/2006/relationships/table" Target="../tables/table105.xml"/><Relationship Id="rId28" Type="http://schemas.openxmlformats.org/officeDocument/2006/relationships/table" Target="../tables/table110.xml"/><Relationship Id="rId36" Type="http://schemas.openxmlformats.org/officeDocument/2006/relationships/table" Target="../tables/table118.xml"/><Relationship Id="rId49" Type="http://schemas.openxmlformats.org/officeDocument/2006/relationships/table" Target="../tables/table131.xml"/><Relationship Id="rId57" Type="http://schemas.openxmlformats.org/officeDocument/2006/relationships/table" Target="../tables/table139.xml"/><Relationship Id="rId10" Type="http://schemas.openxmlformats.org/officeDocument/2006/relationships/table" Target="../tables/table92.xml"/><Relationship Id="rId31" Type="http://schemas.openxmlformats.org/officeDocument/2006/relationships/table" Target="../tables/table113.xml"/><Relationship Id="rId44" Type="http://schemas.openxmlformats.org/officeDocument/2006/relationships/table" Target="../tables/table126.xml"/><Relationship Id="rId52" Type="http://schemas.openxmlformats.org/officeDocument/2006/relationships/table" Target="../tables/table134.xml"/><Relationship Id="rId60" Type="http://schemas.openxmlformats.org/officeDocument/2006/relationships/table" Target="../tables/table142.xml"/><Relationship Id="rId65" Type="http://schemas.openxmlformats.org/officeDocument/2006/relationships/table" Target="../tables/table147.xml"/><Relationship Id="rId73" Type="http://schemas.openxmlformats.org/officeDocument/2006/relationships/table" Target="../tables/table155.xml"/><Relationship Id="rId78" Type="http://schemas.openxmlformats.org/officeDocument/2006/relationships/table" Target="../tables/table160.xml"/><Relationship Id="rId4" Type="http://schemas.openxmlformats.org/officeDocument/2006/relationships/table" Target="../tables/table86.xml"/><Relationship Id="rId9" Type="http://schemas.openxmlformats.org/officeDocument/2006/relationships/table" Target="../tables/table91.xml"/><Relationship Id="rId13" Type="http://schemas.openxmlformats.org/officeDocument/2006/relationships/table" Target="../tables/table95.xml"/><Relationship Id="rId18" Type="http://schemas.openxmlformats.org/officeDocument/2006/relationships/table" Target="../tables/table100.xml"/><Relationship Id="rId39" Type="http://schemas.openxmlformats.org/officeDocument/2006/relationships/table" Target="../tables/table121.xml"/><Relationship Id="rId34" Type="http://schemas.openxmlformats.org/officeDocument/2006/relationships/table" Target="../tables/table116.xml"/><Relationship Id="rId50" Type="http://schemas.openxmlformats.org/officeDocument/2006/relationships/table" Target="../tables/table132.xml"/><Relationship Id="rId55" Type="http://schemas.openxmlformats.org/officeDocument/2006/relationships/table" Target="../tables/table137.xml"/><Relationship Id="rId76" Type="http://schemas.openxmlformats.org/officeDocument/2006/relationships/table" Target="../tables/table158.xml"/><Relationship Id="rId7" Type="http://schemas.openxmlformats.org/officeDocument/2006/relationships/table" Target="../tables/table89.xml"/><Relationship Id="rId71" Type="http://schemas.openxmlformats.org/officeDocument/2006/relationships/table" Target="../tables/table153.xml"/><Relationship Id="rId2" Type="http://schemas.openxmlformats.org/officeDocument/2006/relationships/table" Target="../tables/table84.xml"/><Relationship Id="rId29" Type="http://schemas.openxmlformats.org/officeDocument/2006/relationships/table" Target="../tables/table11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2.xml"/><Relationship Id="rId2" Type="http://schemas.openxmlformats.org/officeDocument/2006/relationships/drawing" Target="../drawings/drawing5.xml"/><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9173-1749-45BC-9E71-8D716043F782}">
  <sheetPr codeName="Sheet1"/>
  <dimension ref="D2:K31"/>
  <sheetViews>
    <sheetView showGridLines="0" zoomScale="78" workbookViewId="0">
      <selection activeCell="I27" sqref="I27:K27"/>
    </sheetView>
  </sheetViews>
  <sheetFormatPr defaultRowHeight="14.5"/>
  <cols>
    <col min="4" max="4" width="16.90625" customWidth="1"/>
    <col min="9" max="9" width="16.08984375" customWidth="1"/>
  </cols>
  <sheetData>
    <row r="2" spans="4:11">
      <c r="D2" s="53"/>
      <c r="E2" s="54"/>
      <c r="F2" s="54"/>
      <c r="G2" s="54"/>
      <c r="H2" s="54"/>
      <c r="I2" s="54"/>
      <c r="J2" s="54"/>
      <c r="K2" s="55"/>
    </row>
    <row r="3" spans="4:11">
      <c r="D3" s="56"/>
      <c r="E3" s="57"/>
      <c r="F3" s="57"/>
      <c r="G3" s="57"/>
      <c r="H3" s="57"/>
      <c r="I3" s="57"/>
      <c r="J3" s="57"/>
      <c r="K3" s="58"/>
    </row>
    <row r="4" spans="4:11">
      <c r="D4" s="56"/>
      <c r="E4" s="57"/>
      <c r="F4" s="57"/>
      <c r="G4" s="57"/>
      <c r="H4" s="57"/>
      <c r="I4" s="57"/>
      <c r="J4" s="57"/>
      <c r="K4" s="58"/>
    </row>
    <row r="5" spans="4:11">
      <c r="D5" s="56"/>
      <c r="E5" s="57"/>
      <c r="F5" s="57"/>
      <c r="G5" s="57"/>
      <c r="H5" s="57"/>
      <c r="I5" s="57"/>
      <c r="J5" s="57"/>
      <c r="K5" s="58"/>
    </row>
    <row r="6" spans="4:11">
      <c r="D6" s="56"/>
      <c r="E6" s="57"/>
      <c r="F6" s="57"/>
      <c r="G6" s="57"/>
      <c r="H6" s="57"/>
      <c r="I6" s="57"/>
      <c r="J6" s="57"/>
      <c r="K6" s="58"/>
    </row>
    <row r="7" spans="4:11">
      <c r="D7" s="56"/>
      <c r="E7" s="57"/>
      <c r="F7" s="57"/>
      <c r="G7" s="57"/>
      <c r="H7" s="57"/>
      <c r="I7" s="57"/>
      <c r="J7" s="57"/>
      <c r="K7" s="58"/>
    </row>
    <row r="8" spans="4:11">
      <c r="D8" s="56"/>
      <c r="E8" s="57"/>
      <c r="F8" s="57"/>
      <c r="G8" s="57"/>
      <c r="H8" s="57"/>
      <c r="I8" s="57"/>
      <c r="J8" s="57"/>
      <c r="K8" s="58"/>
    </row>
    <row r="9" spans="4:11">
      <c r="D9" s="56"/>
      <c r="E9" s="57"/>
      <c r="F9" s="57"/>
      <c r="G9" s="57"/>
      <c r="H9" s="57"/>
      <c r="I9" s="57"/>
      <c r="J9" s="57"/>
      <c r="K9" s="58"/>
    </row>
    <row r="10" spans="4:11">
      <c r="D10" s="56"/>
      <c r="E10" s="57"/>
      <c r="F10" s="57"/>
      <c r="G10" s="57"/>
      <c r="H10" s="57"/>
      <c r="I10" s="57"/>
      <c r="J10" s="57"/>
      <c r="K10" s="58"/>
    </row>
    <row r="11" spans="4:11">
      <c r="D11" s="56"/>
      <c r="E11" s="57"/>
      <c r="F11" s="57"/>
      <c r="G11" s="57"/>
      <c r="H11" s="57"/>
      <c r="I11" s="57"/>
      <c r="J11" s="57"/>
      <c r="K11" s="58"/>
    </row>
    <row r="12" spans="4:11">
      <c r="D12" s="56"/>
      <c r="E12" s="57"/>
      <c r="F12" s="57"/>
      <c r="G12" s="57"/>
      <c r="H12" s="57"/>
      <c r="I12" s="57"/>
      <c r="J12" s="57"/>
      <c r="K12" s="58"/>
    </row>
    <row r="13" spans="4:11">
      <c r="D13" s="56"/>
      <c r="E13" s="57"/>
      <c r="F13" s="57"/>
      <c r="G13" s="57"/>
      <c r="H13" s="57"/>
      <c r="I13" s="57"/>
      <c r="J13" s="57"/>
      <c r="K13" s="58"/>
    </row>
    <row r="14" spans="4:11">
      <c r="D14" s="56"/>
      <c r="E14" s="57"/>
      <c r="F14" s="57"/>
      <c r="G14" s="57"/>
      <c r="H14" s="57"/>
      <c r="I14" s="57"/>
      <c r="J14" s="57"/>
      <c r="K14" s="58"/>
    </row>
    <row r="15" spans="4:11">
      <c r="D15" s="56"/>
      <c r="E15" s="57"/>
      <c r="F15" s="57"/>
      <c r="G15" s="57"/>
      <c r="H15" s="57"/>
      <c r="I15" s="57"/>
      <c r="J15" s="57"/>
      <c r="K15" s="58"/>
    </row>
    <row r="16" spans="4:11" ht="21">
      <c r="D16" s="56"/>
      <c r="E16" s="85" t="s">
        <v>123</v>
      </c>
      <c r="F16" s="85"/>
      <c r="G16" s="85"/>
      <c r="H16" s="85"/>
      <c r="I16" s="85"/>
      <c r="J16" s="57"/>
      <c r="K16" s="58"/>
    </row>
    <row r="17" spans="4:11">
      <c r="D17" s="56"/>
      <c r="E17" s="57"/>
      <c r="F17" s="57"/>
      <c r="G17" s="70" t="s">
        <v>124</v>
      </c>
      <c r="H17" s="57"/>
      <c r="I17" s="57"/>
      <c r="J17" s="57"/>
      <c r="K17" s="58"/>
    </row>
    <row r="18" spans="4:11">
      <c r="D18" s="56"/>
      <c r="E18" s="57"/>
      <c r="F18" s="57"/>
      <c r="G18" s="57"/>
      <c r="H18" s="57"/>
      <c r="I18" s="57"/>
      <c r="J18" s="57"/>
      <c r="K18" s="58"/>
    </row>
    <row r="19" spans="4:11">
      <c r="D19" s="56"/>
      <c r="E19" s="86" t="s">
        <v>126</v>
      </c>
      <c r="F19" s="86"/>
      <c r="G19" s="86"/>
      <c r="H19" s="86"/>
      <c r="I19" s="86"/>
      <c r="J19" s="57"/>
      <c r="K19" s="58"/>
    </row>
    <row r="20" spans="4:11">
      <c r="D20" s="56"/>
      <c r="E20" s="86" t="s">
        <v>125</v>
      </c>
      <c r="F20" s="86"/>
      <c r="G20" s="86"/>
      <c r="H20" s="86"/>
      <c r="I20" s="86"/>
      <c r="J20" s="57"/>
      <c r="K20" s="58"/>
    </row>
    <row r="21" spans="4:11">
      <c r="D21" s="56"/>
      <c r="E21" s="57"/>
      <c r="F21" s="57"/>
      <c r="G21" s="57"/>
      <c r="H21" s="57"/>
      <c r="I21" s="57"/>
      <c r="J21" s="57"/>
      <c r="K21" s="58"/>
    </row>
    <row r="22" spans="4:11">
      <c r="D22" s="56"/>
      <c r="E22" s="57"/>
      <c r="F22" s="57"/>
      <c r="G22" s="57"/>
      <c r="H22" s="57"/>
      <c r="I22" s="57"/>
      <c r="J22" s="57"/>
      <c r="K22" s="58"/>
    </row>
    <row r="23" spans="4:11">
      <c r="D23" s="56"/>
      <c r="E23" s="57"/>
      <c r="F23" s="57"/>
      <c r="G23" s="57"/>
      <c r="H23" s="57"/>
      <c r="I23" s="57"/>
      <c r="J23" s="57"/>
      <c r="K23" s="58"/>
    </row>
    <row r="24" spans="4:11">
      <c r="D24" s="56"/>
      <c r="E24" s="57"/>
      <c r="F24" s="57"/>
      <c r="G24" s="57"/>
      <c r="H24" s="57"/>
      <c r="I24" s="57"/>
      <c r="J24" s="57"/>
      <c r="K24" s="58"/>
    </row>
    <row r="25" spans="4:11">
      <c r="D25" s="56"/>
      <c r="E25" s="57"/>
      <c r="F25" s="57"/>
      <c r="G25" s="57"/>
      <c r="H25" s="57"/>
      <c r="I25" s="57"/>
      <c r="J25" s="57"/>
      <c r="K25" s="58"/>
    </row>
    <row r="26" spans="4:11">
      <c r="D26" s="56"/>
      <c r="E26" s="57"/>
      <c r="F26" s="57"/>
      <c r="G26" s="57"/>
      <c r="H26" s="57"/>
      <c r="I26" s="87" t="s">
        <v>174</v>
      </c>
      <c r="J26" s="87"/>
      <c r="K26" s="88"/>
    </row>
    <row r="27" spans="4:11">
      <c r="D27" s="59"/>
      <c r="E27" s="60"/>
      <c r="F27" s="60"/>
      <c r="G27" s="60"/>
      <c r="H27" s="60"/>
      <c r="I27" s="89" t="s">
        <v>179</v>
      </c>
      <c r="J27" s="89"/>
      <c r="K27" s="90"/>
    </row>
    <row r="31" spans="4:11">
      <c r="D31" t="s">
        <v>177</v>
      </c>
    </row>
  </sheetData>
  <sheetProtection algorithmName="SHA-512" hashValue="fT5Q4UprWVcBibiaRsLgXqO36pfQXnTHEqPFulnp3XyqeHTMxMaTaambMz1yWtskznxhNEBnhMSsx48nlRJ2og==" saltValue="zWS2yeBtwWjUVzL4Mf+v4w==" spinCount="100000" sheet="1" objects="1" scenarios="1" selectLockedCells="1"/>
  <mergeCells count="5">
    <mergeCell ref="E16:I16"/>
    <mergeCell ref="E19:I19"/>
    <mergeCell ref="E20:I20"/>
    <mergeCell ref="I26:K26"/>
    <mergeCell ref="I27:K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B3C5-87D3-41B1-B288-14181857B539}">
  <sheetPr codeName="Sheet2">
    <tabColor rgb="FFFFFF00"/>
  </sheetPr>
  <dimension ref="A1:W78"/>
  <sheetViews>
    <sheetView showGridLines="0" topLeftCell="A15" zoomScale="50" workbookViewId="0">
      <selection activeCell="N39" sqref="N39"/>
    </sheetView>
  </sheetViews>
  <sheetFormatPr defaultRowHeight="16.5"/>
  <cols>
    <col min="1" max="21" width="8.7265625" style="1"/>
    <col min="22" max="22" width="18.26953125" style="1" bestFit="1" customWidth="1"/>
    <col min="23" max="23" width="9.26953125" style="1" bestFit="1" customWidth="1"/>
    <col min="24" max="28" width="8.7265625" style="1"/>
    <col min="29" max="29" width="16.81640625" style="1" bestFit="1" customWidth="1"/>
    <col min="30" max="30" width="34.6328125" style="1" bestFit="1" customWidth="1"/>
    <col min="31" max="50" width="8.7265625" style="1"/>
    <col min="51" max="51" width="16.6328125" style="1" bestFit="1" customWidth="1"/>
    <col min="52" max="52" width="32.453125" style="1" bestFit="1" customWidth="1"/>
    <col min="53" max="16384" width="8.7265625" style="1"/>
  </cols>
  <sheetData>
    <row r="1" spans="1:23">
      <c r="A1" s="1" t="s">
        <v>104</v>
      </c>
      <c r="F1" s="82"/>
      <c r="G1" s="82"/>
      <c r="H1" s="82"/>
      <c r="I1" s="82"/>
      <c r="J1" s="82"/>
      <c r="K1" s="37"/>
      <c r="L1" s="37"/>
    </row>
    <row r="3" spans="1:23">
      <c r="B3" s="38"/>
      <c r="C3" s="39"/>
      <c r="D3" s="39"/>
      <c r="E3" s="39"/>
      <c r="F3" s="39"/>
      <c r="G3" s="39"/>
      <c r="H3" s="39"/>
      <c r="I3" s="39"/>
      <c r="J3" s="39"/>
      <c r="K3" s="39"/>
      <c r="L3" s="39"/>
      <c r="M3" s="39"/>
      <c r="N3" s="39"/>
      <c r="O3" s="39"/>
      <c r="P3" s="39"/>
      <c r="Q3" s="39"/>
      <c r="R3" s="39"/>
      <c r="S3" s="39"/>
      <c r="T3" s="39"/>
      <c r="U3" s="39"/>
      <c r="V3" s="46" t="s">
        <v>167</v>
      </c>
      <c r="W3" s="47" t="s">
        <v>168</v>
      </c>
    </row>
    <row r="4" spans="1:23">
      <c r="B4" s="40"/>
      <c r="C4" s="41"/>
      <c r="D4" s="41"/>
      <c r="E4" s="41"/>
      <c r="F4" s="41"/>
      <c r="G4" s="41"/>
      <c r="H4" s="41"/>
      <c r="I4" s="41"/>
      <c r="J4" s="41"/>
      <c r="K4" s="41"/>
      <c r="L4" s="41"/>
      <c r="M4" s="41"/>
      <c r="N4" s="41"/>
      <c r="O4" s="41"/>
      <c r="P4" s="41"/>
      <c r="Q4" s="41"/>
      <c r="R4" s="41"/>
      <c r="S4" s="41"/>
      <c r="T4" s="41"/>
      <c r="U4" s="41"/>
      <c r="V4" s="48" t="s">
        <v>169</v>
      </c>
      <c r="W4" s="49" t="s">
        <v>170</v>
      </c>
    </row>
    <row r="5" spans="1:23">
      <c r="B5" s="40"/>
      <c r="C5" s="41"/>
      <c r="D5" s="41"/>
      <c r="E5" s="41"/>
      <c r="F5" s="41"/>
      <c r="G5" s="41"/>
      <c r="H5" s="41"/>
      <c r="I5" s="41"/>
      <c r="J5" s="41"/>
      <c r="K5" s="41"/>
      <c r="L5" s="41"/>
      <c r="M5" s="41"/>
      <c r="N5" s="41"/>
      <c r="O5" s="41"/>
      <c r="P5" s="41"/>
      <c r="Q5" s="41"/>
      <c r="R5" s="41"/>
      <c r="S5" s="41"/>
      <c r="T5" s="41"/>
      <c r="U5" s="41"/>
      <c r="V5" s="50" t="s">
        <v>171</v>
      </c>
      <c r="W5" s="51" t="s">
        <v>172</v>
      </c>
    </row>
    <row r="6" spans="1:23">
      <c r="B6" s="40"/>
      <c r="C6" s="41"/>
      <c r="D6" s="41"/>
      <c r="E6" s="41"/>
      <c r="F6" s="41"/>
      <c r="G6" s="41"/>
      <c r="H6" s="41"/>
      <c r="I6" s="41"/>
      <c r="J6" s="41"/>
      <c r="K6" s="41"/>
      <c r="L6" s="41"/>
      <c r="M6" s="41"/>
      <c r="N6" s="41"/>
      <c r="O6" s="41"/>
      <c r="P6" s="41"/>
      <c r="Q6" s="41"/>
      <c r="R6" s="41"/>
      <c r="S6" s="41"/>
      <c r="T6" s="41"/>
      <c r="U6" s="41"/>
      <c r="V6" s="41"/>
      <c r="W6" s="42"/>
    </row>
    <row r="7" spans="1:23">
      <c r="B7" s="40"/>
      <c r="C7" s="41"/>
      <c r="D7" s="41"/>
      <c r="E7" s="41"/>
      <c r="F7" s="41"/>
      <c r="G7" s="41"/>
      <c r="H7" s="41"/>
      <c r="I7" s="41"/>
      <c r="J7" s="41"/>
      <c r="K7" s="41"/>
      <c r="L7" s="41"/>
      <c r="M7" s="41"/>
      <c r="N7" s="41"/>
      <c r="O7" s="41"/>
      <c r="P7" s="41"/>
      <c r="Q7" s="41"/>
      <c r="R7" s="41"/>
      <c r="S7" s="41"/>
      <c r="T7" s="41"/>
      <c r="U7" s="41"/>
      <c r="V7" s="41"/>
      <c r="W7" s="42"/>
    </row>
    <row r="8" spans="1:23">
      <c r="B8" s="40"/>
      <c r="C8" s="41"/>
      <c r="D8" s="41"/>
      <c r="E8" s="41"/>
      <c r="F8" s="41"/>
      <c r="G8" s="41"/>
      <c r="H8" s="41"/>
      <c r="I8" s="41"/>
      <c r="J8" s="41"/>
      <c r="K8" s="41"/>
      <c r="L8" s="41"/>
      <c r="M8" s="41"/>
      <c r="N8" s="41"/>
      <c r="O8" s="41"/>
      <c r="P8" s="41"/>
      <c r="Q8" s="41"/>
      <c r="R8" s="41"/>
      <c r="S8" s="41"/>
      <c r="T8" s="41"/>
      <c r="U8" s="41"/>
      <c r="V8" s="41"/>
      <c r="W8" s="42"/>
    </row>
    <row r="9" spans="1:23">
      <c r="B9" s="40"/>
      <c r="C9" s="41"/>
      <c r="D9" s="41"/>
      <c r="E9" s="41"/>
      <c r="F9" s="41"/>
      <c r="G9" s="41"/>
      <c r="H9" s="41"/>
      <c r="I9" s="41"/>
      <c r="J9" s="41"/>
      <c r="K9" s="41"/>
      <c r="L9" s="41"/>
      <c r="M9" s="41"/>
      <c r="N9" s="41"/>
      <c r="O9" s="41"/>
      <c r="P9" s="41"/>
      <c r="Q9" s="41"/>
      <c r="R9" s="41"/>
      <c r="S9" s="41"/>
      <c r="T9" s="41"/>
      <c r="U9" s="41"/>
      <c r="V9" s="41"/>
      <c r="W9" s="42"/>
    </row>
    <row r="10" spans="1:23">
      <c r="B10" s="40"/>
      <c r="C10" s="41"/>
      <c r="D10" s="41"/>
      <c r="E10" s="41"/>
      <c r="F10" s="41"/>
      <c r="G10" s="41"/>
      <c r="H10" s="41"/>
      <c r="I10" s="41"/>
      <c r="J10" s="41"/>
      <c r="K10" s="41"/>
      <c r="L10" s="41"/>
      <c r="M10" s="41"/>
      <c r="N10" s="41"/>
      <c r="O10" s="41"/>
      <c r="P10" s="41"/>
      <c r="Q10" s="41"/>
      <c r="R10" s="41"/>
      <c r="S10" s="41"/>
      <c r="T10" s="41"/>
      <c r="U10" s="41"/>
      <c r="V10" s="41"/>
      <c r="W10" s="42"/>
    </row>
    <row r="11" spans="1:23">
      <c r="B11" s="40"/>
      <c r="C11" s="41"/>
      <c r="D11" s="41"/>
      <c r="E11" s="41"/>
      <c r="F11" s="41"/>
      <c r="G11" s="41"/>
      <c r="H11" s="41"/>
      <c r="I11" s="41"/>
      <c r="J11" s="41"/>
      <c r="K11" s="41"/>
      <c r="L11" s="41"/>
      <c r="M11" s="41"/>
      <c r="N11" s="41"/>
      <c r="O11" s="41"/>
      <c r="P11" s="41"/>
      <c r="Q11" s="41"/>
      <c r="R11" s="41"/>
      <c r="S11" s="41"/>
      <c r="T11" s="41"/>
      <c r="U11" s="41"/>
      <c r="V11" s="41"/>
      <c r="W11" s="42"/>
    </row>
    <row r="12" spans="1:23">
      <c r="B12" s="40"/>
      <c r="C12" s="41"/>
      <c r="D12" s="41"/>
      <c r="E12" s="41"/>
      <c r="F12" s="41"/>
      <c r="G12" s="41"/>
      <c r="H12" s="41"/>
      <c r="I12" s="41"/>
      <c r="J12" s="41"/>
      <c r="K12" s="41"/>
      <c r="L12" s="41"/>
      <c r="M12" s="41"/>
      <c r="N12" s="41"/>
      <c r="O12" s="41"/>
      <c r="P12" s="41"/>
      <c r="Q12" s="41"/>
      <c r="R12" s="41"/>
      <c r="S12" s="41"/>
      <c r="T12" s="41"/>
      <c r="U12" s="41"/>
      <c r="V12" s="41"/>
      <c r="W12" s="42"/>
    </row>
    <row r="13" spans="1:23">
      <c r="B13" s="40"/>
      <c r="C13" s="41"/>
      <c r="D13" s="41"/>
      <c r="E13" s="41"/>
      <c r="F13" s="41"/>
      <c r="G13" s="41"/>
      <c r="H13" s="41"/>
      <c r="I13" s="41"/>
      <c r="J13" s="41"/>
      <c r="K13" s="41"/>
      <c r="L13" s="41"/>
      <c r="M13" s="41"/>
      <c r="N13" s="41"/>
      <c r="O13" s="41"/>
      <c r="P13" s="41"/>
      <c r="Q13" s="41"/>
      <c r="R13" s="41"/>
      <c r="S13" s="41"/>
      <c r="T13" s="41"/>
      <c r="U13" s="41"/>
      <c r="V13" s="41"/>
      <c r="W13" s="42"/>
    </row>
    <row r="14" spans="1:23">
      <c r="B14" s="40"/>
      <c r="C14" s="41"/>
      <c r="D14" s="41"/>
      <c r="E14" s="41"/>
      <c r="F14" s="41"/>
      <c r="G14" s="41"/>
      <c r="H14" s="41"/>
      <c r="I14" s="41"/>
      <c r="J14" s="41"/>
      <c r="K14" s="41"/>
      <c r="L14" s="41"/>
      <c r="M14" s="41"/>
      <c r="N14" s="41"/>
      <c r="O14" s="41"/>
      <c r="P14" s="41"/>
      <c r="Q14" s="41"/>
      <c r="R14" s="41"/>
      <c r="S14" s="41"/>
      <c r="T14" s="41"/>
      <c r="U14" s="41"/>
      <c r="V14" s="41"/>
      <c r="W14" s="42"/>
    </row>
    <row r="15" spans="1:23">
      <c r="B15" s="40"/>
      <c r="C15" s="41"/>
      <c r="D15" s="41"/>
      <c r="E15" s="41"/>
      <c r="F15" s="41"/>
      <c r="G15" s="41"/>
      <c r="H15" s="41"/>
      <c r="I15" s="41"/>
      <c r="J15" s="41"/>
      <c r="K15" s="41"/>
      <c r="L15" s="41"/>
      <c r="M15" s="41"/>
      <c r="N15" s="41"/>
      <c r="O15" s="41"/>
      <c r="P15" s="41"/>
      <c r="Q15" s="41"/>
      <c r="R15" s="41"/>
      <c r="S15" s="41"/>
      <c r="T15" s="41"/>
      <c r="U15" s="41"/>
      <c r="V15" s="41"/>
      <c r="W15" s="42"/>
    </row>
    <row r="16" spans="1:23">
      <c r="B16" s="40"/>
      <c r="C16" s="41"/>
      <c r="D16" s="41"/>
      <c r="E16" s="41"/>
      <c r="F16" s="41"/>
      <c r="G16" s="41"/>
      <c r="H16" s="41"/>
      <c r="I16" s="41"/>
      <c r="J16" s="41"/>
      <c r="K16" s="41"/>
      <c r="L16" s="41"/>
      <c r="M16" s="41"/>
      <c r="N16" s="41"/>
      <c r="O16" s="41"/>
      <c r="P16" s="41"/>
      <c r="Q16" s="41"/>
      <c r="R16" s="41"/>
      <c r="S16" s="41"/>
      <c r="T16" s="41"/>
      <c r="U16" s="41"/>
      <c r="V16" s="41"/>
      <c r="W16" s="42"/>
    </row>
    <row r="17" spans="2:23">
      <c r="B17" s="40"/>
      <c r="C17" s="41"/>
      <c r="D17" s="41"/>
      <c r="E17" s="41"/>
      <c r="F17" s="41"/>
      <c r="G17" s="41"/>
      <c r="H17" s="41"/>
      <c r="I17" s="41"/>
      <c r="J17" s="41"/>
      <c r="K17" s="41"/>
      <c r="L17" s="41"/>
      <c r="M17" s="41"/>
      <c r="N17" s="41"/>
      <c r="O17" s="41"/>
      <c r="P17" s="41"/>
      <c r="Q17" s="41"/>
      <c r="R17" s="41"/>
      <c r="S17" s="41"/>
      <c r="T17" s="41"/>
      <c r="U17" s="41"/>
      <c r="V17" s="41"/>
      <c r="W17" s="42"/>
    </row>
    <row r="18" spans="2:23">
      <c r="B18" s="40"/>
      <c r="C18" s="41"/>
      <c r="D18" s="41"/>
      <c r="E18" s="41"/>
      <c r="F18" s="41"/>
      <c r="G18" s="41"/>
      <c r="H18" s="41"/>
      <c r="I18" s="41"/>
      <c r="J18" s="41"/>
      <c r="K18" s="41"/>
      <c r="L18" s="41"/>
      <c r="M18" s="41"/>
      <c r="N18" s="41"/>
      <c r="O18" s="41"/>
      <c r="P18" s="41"/>
      <c r="Q18" s="41"/>
      <c r="R18" s="41"/>
      <c r="S18" s="41"/>
      <c r="T18" s="41"/>
      <c r="U18" s="41"/>
      <c r="V18" s="41"/>
      <c r="W18" s="42"/>
    </row>
    <row r="19" spans="2:23">
      <c r="B19" s="40"/>
      <c r="C19" s="41"/>
      <c r="D19" s="41"/>
      <c r="E19" s="41"/>
      <c r="F19" s="41"/>
      <c r="G19" s="41"/>
      <c r="H19" s="41"/>
      <c r="I19" s="41"/>
      <c r="J19" s="41"/>
      <c r="K19" s="41"/>
      <c r="L19" s="41"/>
      <c r="M19" s="41"/>
      <c r="N19" s="41"/>
      <c r="O19" s="41"/>
      <c r="P19" s="41"/>
      <c r="Q19" s="41"/>
      <c r="R19" s="41"/>
      <c r="S19" s="41"/>
      <c r="T19" s="41"/>
      <c r="U19" s="41"/>
      <c r="V19" s="41"/>
      <c r="W19" s="42"/>
    </row>
    <row r="20" spans="2:23">
      <c r="B20" s="40"/>
      <c r="C20" s="41"/>
      <c r="D20" s="41"/>
      <c r="E20" s="41"/>
      <c r="F20" s="41"/>
      <c r="G20" s="41"/>
      <c r="H20" s="41"/>
      <c r="I20" s="41"/>
      <c r="J20" s="41"/>
      <c r="K20" s="41"/>
      <c r="L20" s="41"/>
      <c r="M20" s="41"/>
      <c r="N20" s="41"/>
      <c r="O20" s="41"/>
      <c r="P20" s="41"/>
      <c r="Q20" s="41"/>
      <c r="R20" s="41"/>
      <c r="S20" s="41"/>
      <c r="T20" s="41"/>
      <c r="U20" s="41"/>
      <c r="V20" s="41"/>
      <c r="W20" s="42"/>
    </row>
    <row r="21" spans="2:23">
      <c r="B21" s="40"/>
      <c r="C21" s="41"/>
      <c r="D21" s="41"/>
      <c r="E21" s="41"/>
      <c r="F21" s="41"/>
      <c r="G21" s="41"/>
      <c r="H21" s="41"/>
      <c r="I21" s="41"/>
      <c r="J21" s="41"/>
      <c r="K21" s="41"/>
      <c r="L21" s="41"/>
      <c r="M21" s="41"/>
      <c r="N21" s="41"/>
      <c r="O21" s="41"/>
      <c r="P21" s="41"/>
      <c r="Q21" s="41"/>
      <c r="R21" s="41"/>
      <c r="S21" s="41"/>
      <c r="T21" s="41"/>
      <c r="U21" s="41"/>
      <c r="V21" s="41"/>
      <c r="W21" s="42"/>
    </row>
    <row r="22" spans="2:23">
      <c r="B22" s="40"/>
      <c r="C22" s="41"/>
      <c r="D22" s="41"/>
      <c r="E22" s="41"/>
      <c r="F22" s="41"/>
      <c r="G22" s="41"/>
      <c r="H22" s="41"/>
      <c r="I22" s="41"/>
      <c r="J22" s="41"/>
      <c r="K22" s="41"/>
      <c r="L22" s="41"/>
      <c r="M22" s="41"/>
      <c r="N22" s="41"/>
      <c r="O22" s="41"/>
      <c r="P22" s="41"/>
      <c r="Q22" s="41"/>
      <c r="R22" s="41"/>
      <c r="S22" s="41"/>
      <c r="T22" s="41"/>
      <c r="U22" s="41"/>
      <c r="V22" s="41"/>
      <c r="W22" s="42"/>
    </row>
    <row r="23" spans="2:23">
      <c r="B23" s="40"/>
      <c r="C23" s="41"/>
      <c r="D23" s="41"/>
      <c r="E23" s="41"/>
      <c r="F23" s="41"/>
      <c r="G23" s="41"/>
      <c r="H23" s="41"/>
      <c r="I23" s="41"/>
      <c r="J23" s="41"/>
      <c r="K23" s="41"/>
      <c r="L23" s="41"/>
      <c r="M23" s="41"/>
      <c r="N23" s="41"/>
      <c r="O23" s="41"/>
      <c r="P23" s="41"/>
      <c r="Q23" s="41"/>
      <c r="R23" s="41"/>
      <c r="S23" s="41"/>
      <c r="T23" s="41"/>
      <c r="U23" s="41"/>
      <c r="V23" s="41"/>
      <c r="W23" s="42"/>
    </row>
    <row r="24" spans="2:23">
      <c r="B24" s="40"/>
      <c r="C24" s="41"/>
      <c r="D24" s="41"/>
      <c r="E24" s="41"/>
      <c r="F24" s="41"/>
      <c r="G24" s="41"/>
      <c r="H24" s="41"/>
      <c r="I24" s="41"/>
      <c r="J24" s="41"/>
      <c r="K24" s="41"/>
      <c r="L24" s="41"/>
      <c r="M24" s="41"/>
      <c r="N24" s="41"/>
      <c r="O24" s="41"/>
      <c r="P24" s="41"/>
      <c r="Q24" s="41"/>
      <c r="R24" s="41"/>
      <c r="S24" s="41"/>
      <c r="T24" s="41"/>
      <c r="U24" s="41"/>
      <c r="V24" s="41"/>
      <c r="W24" s="42"/>
    </row>
    <row r="25" spans="2:23">
      <c r="B25" s="40"/>
      <c r="C25" s="41"/>
      <c r="D25" s="41"/>
      <c r="E25" s="41"/>
      <c r="F25" s="41"/>
      <c r="G25" s="41"/>
      <c r="H25" s="41"/>
      <c r="I25" s="41"/>
      <c r="J25" s="41"/>
      <c r="K25" s="41"/>
      <c r="L25" s="41"/>
      <c r="M25" s="41"/>
      <c r="N25" s="41"/>
      <c r="O25" s="41"/>
      <c r="P25" s="41"/>
      <c r="Q25" s="41"/>
      <c r="R25" s="41"/>
      <c r="S25" s="41"/>
      <c r="T25" s="41"/>
      <c r="U25" s="41"/>
      <c r="V25" s="41"/>
      <c r="W25" s="42"/>
    </row>
    <row r="26" spans="2:23">
      <c r="B26" s="40"/>
      <c r="C26" s="41"/>
      <c r="D26" s="41"/>
      <c r="E26" s="41"/>
      <c r="F26" s="41"/>
      <c r="G26" s="41"/>
      <c r="H26" s="41"/>
      <c r="I26" s="41"/>
      <c r="J26" s="41"/>
      <c r="K26" s="41"/>
      <c r="L26" s="41"/>
      <c r="M26" s="41"/>
      <c r="N26" s="41"/>
      <c r="O26" s="41"/>
      <c r="P26" s="41"/>
      <c r="Q26" s="41"/>
      <c r="R26" s="41"/>
      <c r="S26" s="41"/>
      <c r="T26" s="41"/>
      <c r="U26" s="41"/>
      <c r="V26" s="41"/>
      <c r="W26" s="42"/>
    </row>
    <row r="27" spans="2:23">
      <c r="B27" s="40"/>
      <c r="C27" s="41"/>
      <c r="D27" s="41"/>
      <c r="E27" s="41"/>
      <c r="F27" s="41"/>
      <c r="G27" s="41"/>
      <c r="H27" s="41"/>
      <c r="I27" s="41"/>
      <c r="J27" s="41"/>
      <c r="K27" s="41"/>
      <c r="L27" s="41"/>
      <c r="M27" s="41"/>
      <c r="N27" s="41"/>
      <c r="O27" s="41"/>
      <c r="P27" s="41"/>
      <c r="Q27" s="41"/>
      <c r="R27" s="41"/>
      <c r="S27" s="41"/>
      <c r="T27" s="41"/>
      <c r="U27" s="41"/>
      <c r="V27" s="41"/>
      <c r="W27" s="42"/>
    </row>
    <row r="28" spans="2:23">
      <c r="B28" s="40"/>
      <c r="C28" s="41"/>
      <c r="D28" s="41"/>
      <c r="E28" s="41"/>
      <c r="F28" s="41"/>
      <c r="G28" s="41"/>
      <c r="H28" s="41"/>
      <c r="I28" s="41"/>
      <c r="J28" s="41"/>
      <c r="K28" s="41"/>
      <c r="L28" s="41"/>
      <c r="M28" s="41"/>
      <c r="N28" s="41"/>
      <c r="O28" s="41"/>
      <c r="P28" s="41"/>
      <c r="Q28" s="41"/>
      <c r="R28" s="41"/>
      <c r="S28" s="41"/>
      <c r="T28" s="41"/>
      <c r="U28" s="41"/>
      <c r="V28" s="41"/>
      <c r="W28" s="42"/>
    </row>
    <row r="29" spans="2:23">
      <c r="B29" s="40"/>
      <c r="C29" s="41"/>
      <c r="D29" s="41"/>
      <c r="E29" s="41"/>
      <c r="F29" s="41"/>
      <c r="G29" s="41"/>
      <c r="H29" s="41"/>
      <c r="I29" s="41"/>
      <c r="J29" s="41"/>
      <c r="K29" s="41"/>
      <c r="L29" s="41"/>
      <c r="M29" s="41"/>
      <c r="N29" s="41"/>
      <c r="O29" s="41"/>
      <c r="P29" s="41"/>
      <c r="Q29" s="41"/>
      <c r="R29" s="41"/>
      <c r="S29" s="41"/>
      <c r="T29" s="41"/>
      <c r="U29" s="41"/>
      <c r="V29" s="41"/>
      <c r="W29" s="42"/>
    </row>
    <row r="30" spans="2:23">
      <c r="B30" s="40"/>
      <c r="C30" s="41"/>
      <c r="D30" s="41"/>
      <c r="E30" s="41"/>
      <c r="F30" s="41"/>
      <c r="G30" s="41"/>
      <c r="H30" s="41"/>
      <c r="I30" s="41"/>
      <c r="J30" s="41"/>
      <c r="K30" s="41"/>
      <c r="L30" s="41"/>
      <c r="M30" s="41"/>
      <c r="N30" s="41"/>
      <c r="O30" s="41"/>
      <c r="P30" s="41"/>
      <c r="Q30" s="41"/>
      <c r="R30" s="41"/>
      <c r="S30" s="41"/>
      <c r="T30" s="41"/>
      <c r="U30" s="41"/>
      <c r="V30" s="41"/>
      <c r="W30" s="42"/>
    </row>
    <row r="31" spans="2:23">
      <c r="B31" s="40"/>
      <c r="C31" s="41"/>
      <c r="D31" s="41"/>
      <c r="E31" s="41"/>
      <c r="F31" s="41"/>
      <c r="G31" s="41"/>
      <c r="H31" s="41"/>
      <c r="I31" s="41"/>
      <c r="J31" s="41"/>
      <c r="K31" s="41"/>
      <c r="L31" s="41"/>
      <c r="M31" s="41"/>
      <c r="N31" s="41"/>
      <c r="O31" s="41"/>
      <c r="P31" s="41"/>
      <c r="Q31" s="41"/>
      <c r="R31" s="41"/>
      <c r="S31" s="41"/>
      <c r="T31" s="41"/>
      <c r="U31" s="41"/>
      <c r="V31" s="41"/>
      <c r="W31" s="42"/>
    </row>
    <row r="32" spans="2:23">
      <c r="B32" s="40"/>
      <c r="C32" s="41"/>
      <c r="D32" s="41"/>
      <c r="E32" s="41"/>
      <c r="F32" s="41"/>
      <c r="G32" s="41"/>
      <c r="H32" s="41"/>
      <c r="I32" s="41"/>
      <c r="J32" s="41"/>
      <c r="K32" s="41"/>
      <c r="L32" s="41"/>
      <c r="M32" s="41"/>
      <c r="N32" s="41"/>
      <c r="O32" s="41"/>
      <c r="P32" s="41"/>
      <c r="Q32" s="41"/>
      <c r="R32" s="41"/>
      <c r="S32" s="41"/>
      <c r="T32" s="41"/>
      <c r="U32" s="41"/>
      <c r="V32" s="41"/>
      <c r="W32" s="42"/>
    </row>
    <row r="33" spans="2:23">
      <c r="B33" s="40"/>
      <c r="C33" s="41"/>
      <c r="D33" s="41"/>
      <c r="E33" s="41"/>
      <c r="F33" s="41"/>
      <c r="G33" s="41"/>
      <c r="H33" s="41"/>
      <c r="I33" s="41"/>
      <c r="J33" s="41"/>
      <c r="K33" s="41"/>
      <c r="L33" s="41"/>
      <c r="M33" s="41"/>
      <c r="N33" s="41"/>
      <c r="O33" s="41"/>
      <c r="P33" s="41"/>
      <c r="Q33" s="41"/>
      <c r="R33" s="41"/>
      <c r="S33" s="41"/>
      <c r="T33" s="41"/>
      <c r="U33" s="41"/>
      <c r="V33" s="41"/>
      <c r="W33" s="42"/>
    </row>
    <row r="34" spans="2:23">
      <c r="B34" s="40"/>
      <c r="C34" s="41"/>
      <c r="D34" s="41"/>
      <c r="E34" s="41"/>
      <c r="F34" s="41"/>
      <c r="G34" s="41"/>
      <c r="H34" s="41"/>
      <c r="I34" s="41"/>
      <c r="J34" s="41"/>
      <c r="K34" s="41"/>
      <c r="L34" s="41"/>
      <c r="M34" s="41"/>
      <c r="N34" s="41"/>
      <c r="O34" s="41"/>
      <c r="P34" s="41"/>
      <c r="Q34" s="41"/>
      <c r="R34" s="41"/>
      <c r="S34" s="41"/>
      <c r="T34" s="41"/>
      <c r="U34" s="41"/>
      <c r="V34" s="41"/>
      <c r="W34" s="42"/>
    </row>
    <row r="35" spans="2:23">
      <c r="B35" s="43"/>
      <c r="C35" s="44"/>
      <c r="D35" s="44"/>
      <c r="E35" s="44"/>
      <c r="F35" s="44"/>
      <c r="G35" s="44"/>
      <c r="H35" s="44"/>
      <c r="I35" s="44"/>
      <c r="J35" s="44"/>
      <c r="K35" s="44"/>
      <c r="L35" s="44"/>
      <c r="M35" s="44"/>
      <c r="N35" s="44"/>
      <c r="O35" s="44"/>
      <c r="P35" s="44"/>
      <c r="Q35" s="44"/>
      <c r="R35" s="44"/>
      <c r="S35" s="44"/>
      <c r="T35" s="44"/>
      <c r="U35" s="44"/>
      <c r="V35" s="44"/>
      <c r="W35" s="45"/>
    </row>
    <row r="41" spans="2:23" ht="26.5" thickBot="1">
      <c r="C41" s="84" t="s">
        <v>173</v>
      </c>
      <c r="D41" s="84"/>
      <c r="E41" s="84"/>
      <c r="F41" s="84"/>
      <c r="G41" s="84"/>
      <c r="H41" s="84"/>
      <c r="I41" s="84"/>
      <c r="J41" s="84"/>
      <c r="K41" s="84"/>
      <c r="L41" s="84"/>
      <c r="M41" s="84"/>
      <c r="N41" s="84"/>
      <c r="O41" s="84"/>
      <c r="P41" s="84"/>
      <c r="Q41" s="84"/>
      <c r="R41" s="84"/>
      <c r="S41" s="84"/>
    </row>
    <row r="44" spans="2:23">
      <c r="G44" s="52"/>
      <c r="H44" s="83" t="s">
        <v>165</v>
      </c>
      <c r="I44" s="83"/>
      <c r="J44" s="83"/>
    </row>
    <row r="45" spans="2:23">
      <c r="C45" s="2" t="s">
        <v>161</v>
      </c>
      <c r="D45" s="2" t="s">
        <v>119</v>
      </c>
      <c r="E45" s="2"/>
      <c r="F45" s="2"/>
      <c r="G45" s="3"/>
      <c r="H45" s="3"/>
      <c r="I45" s="3"/>
      <c r="J45" s="3"/>
      <c r="K45" s="3"/>
      <c r="L45" s="3"/>
      <c r="M45" s="3"/>
      <c r="N45" s="3"/>
    </row>
    <row r="46" spans="2:23">
      <c r="D46" s="1" t="s">
        <v>175</v>
      </c>
    </row>
    <row r="47" spans="2:23">
      <c r="D47" s="1" t="s">
        <v>166</v>
      </c>
    </row>
    <row r="48" spans="2:23">
      <c r="D48" s="1" t="s">
        <v>97</v>
      </c>
    </row>
    <row r="49" spans="3:14">
      <c r="D49" s="1" t="s">
        <v>99</v>
      </c>
    </row>
    <row r="50" spans="3:14">
      <c r="D50" s="1" t="s">
        <v>98</v>
      </c>
    </row>
    <row r="56" spans="3:14">
      <c r="G56" s="52"/>
      <c r="H56" s="83" t="s">
        <v>160</v>
      </c>
      <c r="I56" s="83"/>
      <c r="J56" s="83"/>
    </row>
    <row r="57" spans="3:14">
      <c r="C57" s="2" t="s">
        <v>161</v>
      </c>
      <c r="D57" s="2" t="s">
        <v>103</v>
      </c>
      <c r="E57" s="2"/>
      <c r="F57" s="2"/>
      <c r="G57" s="3"/>
      <c r="H57" s="3"/>
      <c r="I57" s="3"/>
      <c r="J57" s="3"/>
      <c r="K57" s="3"/>
      <c r="L57" s="3"/>
      <c r="M57" s="3"/>
      <c r="N57" s="3"/>
    </row>
    <row r="58" spans="3:14">
      <c r="D58" s="1" t="s">
        <v>100</v>
      </c>
    </row>
    <row r="59" spans="3:14">
      <c r="D59" s="1" t="s">
        <v>101</v>
      </c>
    </row>
    <row r="60" spans="3:14">
      <c r="D60" s="1" t="s">
        <v>102</v>
      </c>
    </row>
    <row r="62" spans="3:14">
      <c r="C62" s="2" t="s">
        <v>162</v>
      </c>
      <c r="D62" s="2" t="s">
        <v>111</v>
      </c>
      <c r="E62" s="2"/>
      <c r="F62" s="2"/>
      <c r="G62" s="3"/>
      <c r="H62" s="3"/>
      <c r="I62" s="3"/>
      <c r="J62" s="3"/>
      <c r="K62" s="3"/>
      <c r="L62" s="3"/>
      <c r="M62" s="3"/>
      <c r="N62" s="3"/>
    </row>
    <row r="63" spans="3:14">
      <c r="D63" s="1" t="s">
        <v>105</v>
      </c>
    </row>
    <row r="64" spans="3:14">
      <c r="D64" s="1" t="s">
        <v>106</v>
      </c>
    </row>
    <row r="65" spans="3:14">
      <c r="D65" s="1" t="s">
        <v>108</v>
      </c>
    </row>
    <row r="66" spans="3:14">
      <c r="D66" s="1" t="s">
        <v>109</v>
      </c>
    </row>
    <row r="67" spans="3:14">
      <c r="D67" s="1" t="s">
        <v>110</v>
      </c>
    </row>
    <row r="69" spans="3:14">
      <c r="C69" s="2" t="s">
        <v>163</v>
      </c>
      <c r="D69" s="2" t="s">
        <v>112</v>
      </c>
      <c r="E69" s="2"/>
      <c r="F69" s="3"/>
      <c r="G69" s="3"/>
      <c r="H69" s="3"/>
      <c r="I69" s="3"/>
      <c r="J69" s="3"/>
      <c r="K69" s="3"/>
      <c r="L69" s="3"/>
      <c r="M69" s="3"/>
      <c r="N69" s="3"/>
    </row>
    <row r="70" spans="3:14">
      <c r="D70" s="1" t="s">
        <v>113</v>
      </c>
    </row>
    <row r="71" spans="3:14">
      <c r="D71" s="1" t="s">
        <v>114</v>
      </c>
    </row>
    <row r="72" spans="3:14">
      <c r="D72" s="1" t="s">
        <v>115</v>
      </c>
    </row>
    <row r="73" spans="3:14">
      <c r="D73" s="1" t="s">
        <v>116</v>
      </c>
    </row>
    <row r="75" spans="3:14">
      <c r="C75" s="2" t="s">
        <v>164</v>
      </c>
      <c r="D75" s="2" t="s">
        <v>120</v>
      </c>
      <c r="E75" s="2"/>
      <c r="F75" s="2"/>
      <c r="G75" s="3"/>
      <c r="H75" s="3"/>
      <c r="I75" s="3"/>
      <c r="J75" s="3"/>
      <c r="K75" s="3"/>
      <c r="L75" s="3"/>
      <c r="M75" s="3"/>
      <c r="N75" s="3"/>
    </row>
    <row r="76" spans="3:14">
      <c r="D76" s="1" t="s">
        <v>121</v>
      </c>
    </row>
    <row r="77" spans="3:14">
      <c r="D77" s="1" t="s">
        <v>117</v>
      </c>
    </row>
    <row r="78" spans="3:14">
      <c r="D78" s="1" t="s">
        <v>118</v>
      </c>
    </row>
  </sheetData>
  <sheetProtection algorithmName="SHA-512" hashValue="LgAdwBLIk9snlofdEBouf9ob/aVO4WyCoDgCuTXWyCirNejut6ZACsoB6obOTziQJRHIRFEQehfeSxF77qRfqg==" saltValue="RuUoOuPx0cz1tu6eWkWFKg==" spinCount="100000" sheet="1" objects="1" scenarios="1" selectLockedCells="1"/>
  <mergeCells count="4">
    <mergeCell ref="F1:J1"/>
    <mergeCell ref="H44:J44"/>
    <mergeCell ref="H56:J56"/>
    <mergeCell ref="C41:S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C731-8DF0-4175-A407-2EA1C32E02F3}">
  <sheetPr codeName="Sheet3">
    <tabColor rgb="FF92D050"/>
  </sheetPr>
  <dimension ref="B1:CQ40"/>
  <sheetViews>
    <sheetView showGridLines="0" tabSelected="1" zoomScale="73" zoomScaleNormal="53" workbookViewId="0">
      <selection activeCell="M5" sqref="M5"/>
    </sheetView>
  </sheetViews>
  <sheetFormatPr defaultRowHeight="16.5"/>
  <cols>
    <col min="1" max="1" width="8.7265625" style="1"/>
    <col min="2" max="2" width="11.26953125" style="1" bestFit="1" customWidth="1"/>
    <col min="3" max="3" width="12.6328125" style="1" bestFit="1" customWidth="1"/>
    <col min="4" max="6" width="8.7265625" style="1"/>
    <col min="7" max="7" width="8.90625" style="1" customWidth="1"/>
    <col min="8" max="8" width="8" style="1" customWidth="1"/>
    <col min="9" max="9" width="7.81640625" style="1" customWidth="1"/>
    <col min="10" max="10" width="7.7265625" style="1" customWidth="1"/>
    <col min="11" max="11" width="8" style="1" customWidth="1"/>
    <col min="12" max="12" width="11.26953125" style="1" bestFit="1" customWidth="1"/>
    <col min="13" max="13" width="12.6328125" style="1" bestFit="1" customWidth="1"/>
    <col min="14" max="14" width="10.453125" style="1" bestFit="1" customWidth="1"/>
    <col min="15" max="18" width="8.7265625" style="1"/>
    <col min="19" max="19" width="12.36328125" style="1" bestFit="1" customWidth="1"/>
    <col min="20" max="20" width="11" style="1" customWidth="1"/>
    <col min="21" max="21" width="14.26953125" style="1" bestFit="1" customWidth="1"/>
    <col min="22" max="22" width="27" style="1" bestFit="1" customWidth="1"/>
    <col min="23" max="23" width="14.81640625" style="1" bestFit="1" customWidth="1"/>
    <col min="24" max="57" width="8.7265625" style="1"/>
    <col min="58" max="58" width="9.6328125" style="1" bestFit="1" customWidth="1"/>
    <col min="59" max="61" width="8.7265625" style="1"/>
    <col min="62" max="62" width="19.7265625" style="1" bestFit="1" customWidth="1"/>
    <col min="63" max="63" width="12.81640625" style="1" bestFit="1" customWidth="1"/>
    <col min="64" max="64" width="10.1796875" style="1" bestFit="1" customWidth="1"/>
    <col min="65" max="65" width="9.1796875" style="1" customWidth="1"/>
    <col min="66" max="66" width="8.81640625" style="1" bestFit="1" customWidth="1"/>
    <col min="67" max="67" width="14.453125" style="1" bestFit="1" customWidth="1"/>
    <col min="68" max="68" width="8.7265625" style="1"/>
    <col min="69" max="69" width="11" style="1" bestFit="1" customWidth="1"/>
    <col min="70" max="70" width="24.90625" style="1" bestFit="1" customWidth="1"/>
    <col min="71" max="71" width="28.54296875" style="1" bestFit="1" customWidth="1"/>
    <col min="72" max="73" width="8.7265625" style="1"/>
    <col min="74" max="74" width="10.26953125" style="1" bestFit="1" customWidth="1"/>
    <col min="75" max="76" width="8.7265625" style="1"/>
    <col min="77" max="77" width="9" style="1" bestFit="1" customWidth="1"/>
    <col min="78" max="78" width="24.08984375" style="1" bestFit="1" customWidth="1"/>
    <col min="79" max="79" width="15.1796875" style="1" bestFit="1" customWidth="1"/>
    <col min="80" max="80" width="8.7265625" style="1"/>
    <col min="81" max="81" width="9" style="1" bestFit="1" customWidth="1"/>
    <col min="82" max="82" width="28.54296875" style="1" bestFit="1" customWidth="1"/>
    <col min="83" max="83" width="8.7265625" style="1"/>
    <col min="84" max="84" width="13.453125" style="1" bestFit="1" customWidth="1"/>
    <col min="85" max="85" width="9.08984375" style="1" bestFit="1" customWidth="1"/>
    <col min="86" max="87" width="8.7265625" style="1"/>
    <col min="88" max="88" width="16.54296875" style="1" bestFit="1" customWidth="1"/>
    <col min="89" max="89" width="8.7265625" style="1"/>
    <col min="90" max="90" width="10" style="1" bestFit="1" customWidth="1"/>
    <col min="91" max="91" width="8.7265625" style="1"/>
    <col min="92" max="92" width="10" style="1" bestFit="1" customWidth="1"/>
    <col min="93" max="93" width="8.90625" style="1" bestFit="1" customWidth="1"/>
    <col min="94" max="16384" width="8.7265625" style="1"/>
  </cols>
  <sheetData>
    <row r="1" spans="2:95" ht="17" thickBot="1"/>
    <row r="2" spans="2:95" ht="26">
      <c r="B2" s="22"/>
      <c r="C2" s="23"/>
      <c r="D2" s="23"/>
      <c r="E2" s="29" t="s">
        <v>154</v>
      </c>
      <c r="F2" s="23"/>
      <c r="G2" s="23"/>
      <c r="H2" s="23"/>
      <c r="I2" s="23"/>
      <c r="J2" s="23"/>
      <c r="K2" s="23"/>
      <c r="L2" s="23"/>
      <c r="M2" s="23"/>
      <c r="N2" s="23"/>
      <c r="O2" s="23"/>
      <c r="P2" s="23"/>
      <c r="Q2" s="23"/>
      <c r="R2" s="23"/>
      <c r="S2" s="23"/>
      <c r="T2" s="23"/>
      <c r="U2" s="23"/>
      <c r="V2" s="20" t="s">
        <v>128</v>
      </c>
      <c r="W2" s="20" t="s">
        <v>129</v>
      </c>
      <c r="AU2" s="91" t="s">
        <v>158</v>
      </c>
      <c r="AV2" s="91"/>
      <c r="AW2" s="91"/>
      <c r="AX2" s="91"/>
      <c r="BA2" s="1" t="s">
        <v>131</v>
      </c>
      <c r="BB2" t="str" cm="1">
        <f t="array" ref="BB2">_xlfn.SWITCH(M5, "X","X - ", "TikTok","TT - ", "Instagram","IG - ", "Threads","THREADS - ", "Facebook","FB - ", "LinkedIn","LINKEDIN - ", "")</f>
        <v xml:space="preserve">X - </v>
      </c>
      <c r="BF2"/>
      <c r="BJ2" s="1" t="s">
        <v>2</v>
      </c>
      <c r="BK2" s="1" t="s">
        <v>132</v>
      </c>
      <c r="BL2" s="1" t="s">
        <v>74</v>
      </c>
      <c r="BM2" s="1" t="s">
        <v>159</v>
      </c>
      <c r="BN2" s="1" t="s">
        <v>133</v>
      </c>
      <c r="BO2" s="1" t="s">
        <v>134</v>
      </c>
      <c r="BQ2" s="1" t="s">
        <v>130</v>
      </c>
      <c r="BR2" s="1" t="s">
        <v>136</v>
      </c>
      <c r="BU2" s="21" t="s">
        <v>137</v>
      </c>
      <c r="BX2" s="21" t="s">
        <v>138</v>
      </c>
      <c r="CB2" s="21" t="s">
        <v>139</v>
      </c>
      <c r="CJ2" s="21" t="s">
        <v>140</v>
      </c>
    </row>
    <row r="3" spans="2:95" ht="17.5">
      <c r="B3" s="24"/>
      <c r="C3" s="14"/>
      <c r="D3" s="14"/>
      <c r="E3" s="17" t="s">
        <v>127</v>
      </c>
      <c r="F3" s="14"/>
      <c r="G3" s="14"/>
      <c r="H3" s="14"/>
      <c r="I3" s="14"/>
      <c r="J3" s="14"/>
      <c r="K3" s="14"/>
      <c r="L3" s="14"/>
      <c r="M3" s="14"/>
      <c r="N3" s="14"/>
      <c r="O3" s="14"/>
      <c r="P3" s="14"/>
      <c r="Q3" s="14"/>
      <c r="R3" s="14"/>
      <c r="S3" s="14"/>
      <c r="T3" s="14"/>
      <c r="U3" s="14"/>
      <c r="V3" s="66">
        <v>46204</v>
      </c>
      <c r="W3" s="78">
        <f ca="1">TODAY()</f>
        <v>46262</v>
      </c>
      <c r="BB3" s="1" t="str" cm="1">
        <f t="array" ref="BB3:BB13">_xlfn._xlws.FILTER(MensData[Metric],LEFT(MensData[Metric],LEN($BB$2))=$BB$2,"")</f>
        <v>X - Followers</v>
      </c>
      <c r="BF3" s="15"/>
      <c r="BI3"/>
      <c r="BJ3" s="1" t="str" cm="1">
        <f t="array" ref="BJ3">IFERROR(INDEX(_xlfn.ANCHORARRAY($BB$3),ROWS($BF$2:BF2)),"")</f>
        <v>X - Followers</v>
      </c>
      <c r="BK3" s="1" t="str">
        <f t="shared" ref="BK3:BK15" si="0">IF(BJ3="","",TRIM(_xlfn.TEXTAFTER(BJ3,"-")))</f>
        <v>Followers</v>
      </c>
      <c r="BL3" s="31" cm="1">
        <f t="array" ref="BL3">IF(BJ3="","",INDEX('Data Entry'!$D$5:$Q$34,_xlfn.XMATCH(BJ3,'Data Entry'!$C$5:$C$34,0),_xlfn.XMATCH($N$5,'Data Entry'!$D$4:$Q$4,0)))</f>
        <v>242000</v>
      </c>
      <c r="BM3" t="str">
        <f>IF(BL3="","", IF(ISNUMBER(SEARCH("Engagement rate",BK3)), TEXT(BL3,"0.0%"), TEXT(BL3,"#,##0")))</f>
        <v>242,000</v>
      </c>
      <c r="BN3" cm="1">
        <f t="array" ref="BN3">IF(BJ3="","",INDEX('Data Entry'!$AA$5:$AN$34,_xlfn.XMATCH(BJ3,'Data Entry'!$Z$5:$Z$34,0),_xlfn.XMATCH($N$5,'Data Entry'!$AA$4:$AN$4,0)))</f>
        <v>2.9009531703273932E-3</v>
      </c>
      <c r="BO3" s="16" t="str">
        <f t="shared" ref="BO3:BO15" si="1">IF(BN3="","",IF(BN3&gt;0,"▲ "&amp;TEXT(BN3,"0.00%"),IF(BN3&lt;0,"▼ "&amp;TEXT(ABS(BN3),"0.00%"),"▬ 0.00%")))</f>
        <v>▲ 0.29%</v>
      </c>
      <c r="BQ3" s="1" t="s">
        <v>1</v>
      </c>
      <c r="BR3" s="1" t="str">
        <f>'Data Entry'!C6</f>
        <v>X - Impressions</v>
      </c>
      <c r="BS3" s="16" t="str">
        <f>_xlfn.XLOOKUP(C24,$BQ$3:$BQ$8,$BR$3:$BR$8)</f>
        <v>THREADS - Views</v>
      </c>
      <c r="BU3" s="1" t="s">
        <v>37</v>
      </c>
      <c r="BV3" s="1" t="s">
        <v>74</v>
      </c>
      <c r="BX3" s="1" t="s">
        <v>37</v>
      </c>
      <c r="BY3" s="1" t="s">
        <v>74</v>
      </c>
      <c r="BZ3" s="16" t="str">
        <f>TRIM(_xlfn.TEXTAFTER($V$24,)) &amp; " by Month"</f>
        <v>X - Profile visits by Month</v>
      </c>
      <c r="CB3" s="1" t="s">
        <v>37</v>
      </c>
      <c r="CC3" s="1" t="s">
        <v>74</v>
      </c>
      <c r="CD3" s="16" t="str">
        <f>TRIM(_xlfn.TEXTAFTER($V$34,))&amp;" Insights"</f>
        <v>X - Video Views Insights</v>
      </c>
      <c r="CF3" t="str">
        <f>$U$34&amp;" - "&amp;TRIM(_xlfn.TEXTAFTER(CD3,"-"))</f>
        <v>X - Video Views Insights</v>
      </c>
      <c r="CG3" s="16"/>
      <c r="CJ3" s="1" t="s">
        <v>141</v>
      </c>
      <c r="CK3" s="16" t="str" cm="1">
        <f t="array" ref="CK3">INDEX($CM$23:$CM$40,_xlfn.XMATCH(MAX($CN$23:$CN$40),$CN$23:$CN$40))</f>
        <v>Views</v>
      </c>
      <c r="CL3" s="31">
        <f>MAX($CN$23:$CN$40)</f>
        <v>486000</v>
      </c>
      <c r="CN3" t="str">
        <f>CK3&amp;" ("&amp;TEXT(CL3,"#,##0")&amp;")"</f>
        <v>Views (486,000)</v>
      </c>
      <c r="CQ3" s="1" t="str">
        <f>$C$34&amp;"-"&amp;" Executive Summary"&amp;" ("&amp;N5&amp;")"</f>
        <v>TikTok- Executive Summary (Dec-26)</v>
      </c>
    </row>
    <row r="4" spans="2:95" ht="17.5">
      <c r="B4" s="24"/>
      <c r="C4" s="14"/>
      <c r="D4" s="14"/>
      <c r="E4" s="14"/>
      <c r="F4" s="14"/>
      <c r="G4" s="14"/>
      <c r="H4" s="14"/>
      <c r="I4" s="14"/>
      <c r="J4" s="14"/>
      <c r="K4" s="14"/>
      <c r="L4" s="14"/>
      <c r="M4" s="33" t="s">
        <v>155</v>
      </c>
      <c r="N4" s="33" t="s">
        <v>157</v>
      </c>
      <c r="O4" s="14"/>
      <c r="P4" s="14"/>
      <c r="Q4" s="14"/>
      <c r="R4" s="14"/>
      <c r="S4" s="14"/>
      <c r="T4" s="14"/>
      <c r="U4" s="14"/>
      <c r="V4" s="14"/>
      <c r="W4" s="25"/>
      <c r="BB4" s="1" t="str">
        <v>X - Impressions</v>
      </c>
      <c r="BF4" s="16"/>
      <c r="BJ4" s="1" t="str" cm="1">
        <f t="array" ref="BJ4">IFERROR(INDEX(_xlfn.ANCHORARRAY($BB$3),ROWS($BF$2:BF3)),"")</f>
        <v>X - Impressions</v>
      </c>
      <c r="BK4" s="1" t="str">
        <f>IF(BJ4="","",TRIM(_xlfn.TEXTAFTER(BJ4,"-")))</f>
        <v>Impressions</v>
      </c>
      <c r="BL4" s="31" cm="1">
        <f t="array" ref="BL4">IF(BJ4="","",INDEX('Data Entry'!$D$5:$Q$34,_xlfn.XMATCH(BJ4,'Data Entry'!$C$5:$C$34,0),_xlfn.XMATCH($N$5,'Data Entry'!$D$4:$Q$4,0)))</f>
        <v>3900000</v>
      </c>
      <c r="BM4" t="str">
        <f t="shared" ref="BM4:BM15" si="2">IF(BL4="","", IF(ISNUMBER(SEARCH("Engagement rate",BK4)), TEXT(BL4,"0.0%"), TEXT(BL4,"#,##0")))</f>
        <v>3,900,000</v>
      </c>
      <c r="BN4" cm="1">
        <f t="array" ref="BN4">IF(BJ4="","",INDEX('Data Entry'!$AA$5:$AN$34,_xlfn.XMATCH(BJ4,'Data Entry'!$Z$5:$Z$34,0),_xlfn.XMATCH($N$5,'Data Entry'!$AA$4:$AN$4,0)))</f>
        <v>-0.11363636363636363</v>
      </c>
      <c r="BO4" s="16" t="str">
        <f>IF(BN4="","",IF(BN4&gt;0,"▲ "&amp;TEXT(BN4,"0.00%"),IF(BN4&lt;0,"▼ "&amp;TEXT(ABS(BN4),"0.00%"),"▬ 0.00%")))</f>
        <v>▼ 11.36%</v>
      </c>
      <c r="BQ4" s="1" t="s">
        <v>19</v>
      </c>
      <c r="BR4" s="1" t="str">
        <f>'Data Entry'!C16</f>
        <v>TT - Views</v>
      </c>
      <c r="BS4" t="str">
        <f>$C$24&amp;" - "&amp;TRIM(_xlfn.TEXTAFTER(BS3,"-"))&amp;" Trend"</f>
        <v>Threads - Views Trend</v>
      </c>
      <c r="BU4" s="9" t="str">
        <f>MensData[[#Headers],[May-26]]</f>
        <v>May-26</v>
      </c>
      <c r="BV4" s="30" cm="1">
        <f t="array" ref="BV4">INDEX('Data Entry'!$D$5:$Q$34, _xlfn.XMATCH($BS$3,'Data Entry'!$C$5:$C$34,0), _xlfn.XMATCH(BU4,'Data Entry'!$D$4:$Q$4,0))</f>
        <v>17600</v>
      </c>
      <c r="BX4" s="9" t="str">
        <f t="shared" ref="BX4:BX17" si="3">BU4</f>
        <v>May-26</v>
      </c>
      <c r="BY4" s="30" cm="1">
        <f t="array" ref="BY4">INDEX('Data Entry'!$D$5:$Q$34,
_xlfn.XMATCH($V$24,'Data Entry'!$C$5:$C$34,0),
_xlfn.XMATCH(BX4,'Data Entry'!$D$4:$Q$4,0))</f>
        <v>29800</v>
      </c>
      <c r="CB4" s="9" t="str">
        <f t="shared" ref="CB4:CB17" si="4">BX4</f>
        <v>May-26</v>
      </c>
      <c r="CC4" s="30" cm="1">
        <f t="array" ref="CC4">INDEX('Data Entry'!$D$5:$Q$34, _xlfn.XMATCH($V$34,'Data Entry'!$C$5:$C$34,0), _xlfn.XMATCH(CB4,'Data Entry'!$D$4:$Q$4,0))</f>
        <v>342600</v>
      </c>
      <c r="CE4" s="9"/>
      <c r="CF4" t="s">
        <v>152</v>
      </c>
      <c r="CG4" s="1" t="str">
        <f>_xlfn.XLOOKUP(MAX(CC4:CC17),CC4:CC17,CB4:CB17)</f>
        <v>Jul-26</v>
      </c>
      <c r="CJ4" s="1" t="s">
        <v>142</v>
      </c>
      <c r="CK4" t="str" cm="1">
        <f t="array" ref="CK4">INDEX($CM$23:$CM$40,_xlfn.XMATCH(MAX($CO$23:$CO$40),$CO$23:$CO$40))</f>
        <v>New Viewers</v>
      </c>
      <c r="CL4" s="19">
        <f>MAX($CO$23:$CO$40)</f>
        <v>3.3809523809523809</v>
      </c>
      <c r="CN4" t="str">
        <f>CK4&amp;" (+"&amp;TEXT(CL4,"0.0%")&amp;")"</f>
        <v>New Viewers (+338.1%)</v>
      </c>
    </row>
    <row r="5" spans="2:95" ht="17.5">
      <c r="B5" s="24"/>
      <c r="C5" s="14"/>
      <c r="D5" s="14"/>
      <c r="E5" s="14"/>
      <c r="F5" s="14"/>
      <c r="G5" s="14"/>
      <c r="H5" s="14"/>
      <c r="I5" s="14"/>
      <c r="J5" s="14"/>
      <c r="K5" s="14"/>
      <c r="L5" s="14"/>
      <c r="M5" s="64" t="s">
        <v>1</v>
      </c>
      <c r="N5" s="65" t="s">
        <v>91</v>
      </c>
      <c r="O5" s="14"/>
      <c r="P5" s="14"/>
      <c r="Q5" s="14"/>
      <c r="R5" s="14"/>
      <c r="S5" s="14"/>
      <c r="T5" s="14"/>
      <c r="U5" s="14"/>
      <c r="V5" s="14"/>
      <c r="W5" s="25"/>
      <c r="BB5" s="1" t="str">
        <v>X - Engagement rate</v>
      </c>
      <c r="BJ5" s="1" t="str" cm="1">
        <f t="array" ref="BJ5">IFERROR(INDEX(_xlfn.ANCHORARRAY($BB$3),ROWS($BF$2:BF4)),"")</f>
        <v>X - Engagement rate</v>
      </c>
      <c r="BK5" s="1" t="str">
        <f t="shared" si="0"/>
        <v>Engagement rate</v>
      </c>
      <c r="BL5" s="31" cm="1">
        <f t="array" ref="BL5">IF(BJ5="","",INDEX('Data Entry'!$D$5:$Q$34,_xlfn.XMATCH(BJ5,'Data Entry'!$C$5:$C$34,0),_xlfn.XMATCH($N$5,'Data Entry'!$D$4:$Q$4,0)))</f>
        <v>4.5999999999999999E-2</v>
      </c>
      <c r="BM5" t="str">
        <f t="shared" si="2"/>
        <v>4.6%</v>
      </c>
      <c r="BN5" cm="1">
        <f t="array" ref="BN5">IF(BJ5="","",INDEX('Data Entry'!$AA$5:$AN$34,_xlfn.XMATCH(BJ5,'Data Entry'!$Z$5:$Z$34,0),_xlfn.XMATCH($N$5,'Data Entry'!$AA$4:$AN$4,0)))</f>
        <v>9.523809523809515E-2</v>
      </c>
      <c r="BO5" s="16" t="str">
        <f t="shared" si="1"/>
        <v>▲ 9.52%</v>
      </c>
      <c r="BQ5" s="1" t="s">
        <v>0</v>
      </c>
      <c r="BR5" s="1" t="str">
        <f>'Data Entry'!C22</f>
        <v>IG - Reel and Post Views</v>
      </c>
      <c r="BU5" s="9" t="str">
        <f>MensData[[#Headers],[Jun-26]]</f>
        <v>Jun-26</v>
      </c>
      <c r="BV5" s="30" cm="1">
        <f t="array" ref="BV5">INDEX('Data Entry'!$D$5:$Q$34, _xlfn.XMATCH($BS$3,'Data Entry'!$C$5:$C$34,0), _xlfn.XMATCH(BU5,'Data Entry'!$D$4:$Q$4,0))</f>
        <v>32400</v>
      </c>
      <c r="BX5" s="9" t="str">
        <f t="shared" si="3"/>
        <v>Jun-26</v>
      </c>
      <c r="BY5" s="30" cm="1">
        <f t="array" ref="BY5">INDEX('Data Entry'!$D$5:$Q$34,
_xlfn.XMATCH($V$24,'Data Entry'!$C$5:$C$34,0),
_xlfn.XMATCH(BX5,'Data Entry'!$D$4:$Q$4,0))</f>
        <v>89200</v>
      </c>
      <c r="CB5" s="9" t="str">
        <f t="shared" si="4"/>
        <v>Jun-26</v>
      </c>
      <c r="CC5" s="30" cm="1">
        <f t="array" ref="CC5">INDEX('Data Entry'!$D$5:$Q$34, _xlfn.XMATCH($V$34,'Data Entry'!$C$5:$C$34,0), _xlfn.XMATCH(CB5,'Data Entry'!$D$4:$Q$4,0))</f>
        <v>493400</v>
      </c>
      <c r="CE5" s="9"/>
      <c r="CF5" t="s">
        <v>151</v>
      </c>
      <c r="CG5" s="30">
        <f>MAX(CC4:CC17)</f>
        <v>698800</v>
      </c>
      <c r="CJ5" s="1" t="s">
        <v>143</v>
      </c>
      <c r="CK5" t="str" cm="1">
        <f t="array" ref="CK5">INDEX($CM$23:$CM$40,_xlfn.XMATCH(MIN($CO$23:$CO$40),$CO$23:$CO$40))</f>
        <v>Comments</v>
      </c>
      <c r="CL5" s="19">
        <f>MIN($CO$23:$CO$40)</f>
        <v>0.13513513513513514</v>
      </c>
      <c r="CN5" t="str">
        <f>CK5&amp;" ("&amp;TEXT(CL5,"0.0%")&amp;")"</f>
        <v>Comments (13.5%)</v>
      </c>
    </row>
    <row r="6" spans="2:95">
      <c r="B6" s="24"/>
      <c r="C6" s="14"/>
      <c r="D6" s="14"/>
      <c r="E6" s="14"/>
      <c r="F6" s="14"/>
      <c r="G6" s="14"/>
      <c r="H6" s="14"/>
      <c r="I6" s="14"/>
      <c r="J6" s="14"/>
      <c r="K6" s="14"/>
      <c r="L6" s="14"/>
      <c r="M6" s="14"/>
      <c r="N6" s="14"/>
      <c r="O6" s="14"/>
      <c r="P6" s="14"/>
      <c r="Q6" s="14"/>
      <c r="R6" s="14"/>
      <c r="S6" s="14"/>
      <c r="T6" s="14"/>
      <c r="U6" s="14"/>
      <c r="V6" s="14"/>
      <c r="W6" s="25"/>
      <c r="BB6" s="1" t="str">
        <v>X - Engagements</v>
      </c>
      <c r="BJ6" s="1" t="str" cm="1">
        <f t="array" ref="BJ6">IFERROR(INDEX(_xlfn.ANCHORARRAY($BB$3),ROWS($BF$2:BF5)),"")</f>
        <v>X - Engagements</v>
      </c>
      <c r="BK6" s="1" t="str">
        <f t="shared" si="0"/>
        <v>Engagements</v>
      </c>
      <c r="BL6" s="31" cm="1">
        <f t="array" ref="BL6">IF(BJ6="","",INDEX('Data Entry'!$D$5:$Q$34,_xlfn.XMATCH(BJ6,'Data Entry'!$C$5:$C$34,0),_xlfn.XMATCH($N$5,'Data Entry'!$D$4:$Q$4,0)))</f>
        <v>183400</v>
      </c>
      <c r="BM6" t="str">
        <f t="shared" si="2"/>
        <v>183,400</v>
      </c>
      <c r="BN6" cm="1">
        <f t="array" ref="BN6">IF(BJ6="","",INDEX('Data Entry'!$AA$5:$AN$34,_xlfn.XMATCH(BJ6,'Data Entry'!$Z$5:$Z$34,0),_xlfn.XMATCH($N$5,'Data Entry'!$AA$4:$AN$4,0)))</f>
        <v>-3.3210332103321034E-2</v>
      </c>
      <c r="BO6" s="16" t="str">
        <f t="shared" si="1"/>
        <v>▼ 3.32%</v>
      </c>
      <c r="BQ6" s="1" t="s">
        <v>24</v>
      </c>
      <c r="BR6" s="1" t="str">
        <f>'Data Entry'!C26</f>
        <v>THREADS - Views</v>
      </c>
      <c r="BU6" s="9" t="str">
        <f>MensData[[#Headers],[Jul-26]]</f>
        <v>Jul-26</v>
      </c>
      <c r="BV6" s="30" cm="1">
        <f t="array" ref="BV6">INDEX('Data Entry'!$D$5:$Q$34, _xlfn.XMATCH($BS$3,'Data Entry'!$C$5:$C$34,0), _xlfn.XMATCH(BU6,'Data Entry'!$D$4:$Q$4,0))</f>
        <v>17000</v>
      </c>
      <c r="BX6" s="9" t="str">
        <f t="shared" si="3"/>
        <v>Jul-26</v>
      </c>
      <c r="BY6" s="30" cm="1">
        <f t="array" ref="BY6">INDEX('Data Entry'!$D$5:$Q$34,
_xlfn.XMATCH($V$24,'Data Entry'!$C$5:$C$34,0),
_xlfn.XMATCH(BX6,'Data Entry'!$D$4:$Q$4,0))</f>
        <v>100600</v>
      </c>
      <c r="CB6" s="9" t="str">
        <f t="shared" si="4"/>
        <v>Jul-26</v>
      </c>
      <c r="CC6" s="30" cm="1">
        <f t="array" ref="CC6">INDEX('Data Entry'!$D$5:$Q$34, _xlfn.XMATCH($V$34,'Data Entry'!$C$5:$C$34,0), _xlfn.XMATCH(CB6,'Data Entry'!$D$4:$Q$4,0))</f>
        <v>698800</v>
      </c>
      <c r="CE6" s="9"/>
      <c r="CF6" t="s">
        <v>150</v>
      </c>
      <c r="CG6" s="1" t="str">
        <f>_xlfn.XLOOKUP(_xlfn.MINIFS(CC4:CC17,CC4:CC17,"&gt;0"),CC4:CC17,CB4:CB17)</f>
        <v>Nov-26</v>
      </c>
      <c r="CJ6" s="1" t="s">
        <v>144</v>
      </c>
      <c r="CK6" s="16" t="str">
        <f>COUNTIF($CO$23:$CO$39,"&gt;0")&amp;" / "&amp;COUNTIF($CL$23:$CL$39,"?*")</f>
        <v>6 / 6</v>
      </c>
    </row>
    <row r="7" spans="2:95">
      <c r="B7" s="24"/>
      <c r="C7" s="14"/>
      <c r="D7" s="14"/>
      <c r="E7" s="14"/>
      <c r="F7" s="14"/>
      <c r="G7" s="14"/>
      <c r="H7" s="14"/>
      <c r="I7" s="14"/>
      <c r="J7" s="14"/>
      <c r="K7" s="14"/>
      <c r="L7" s="14"/>
      <c r="M7" s="14"/>
      <c r="N7" s="14"/>
      <c r="O7" s="14"/>
      <c r="P7" s="14"/>
      <c r="Q7" s="14"/>
      <c r="R7" s="14"/>
      <c r="S7" s="14"/>
      <c r="T7" s="14"/>
      <c r="U7" s="14"/>
      <c r="V7" s="14"/>
      <c r="W7" s="25"/>
      <c r="BB7" s="1" t="str">
        <v>X - Profile visits</v>
      </c>
      <c r="BJ7" s="1" t="str" cm="1">
        <f t="array" ref="BJ7">IFERROR(INDEX(_xlfn.ANCHORARRAY($BB$3),ROWS($BF$2:BF6)),"")</f>
        <v>X - Profile visits</v>
      </c>
      <c r="BK7" s="1" t="str">
        <f t="shared" si="0"/>
        <v>Profile visits</v>
      </c>
      <c r="BL7" s="31" cm="1">
        <f t="array" ref="BL7">IF(BJ7="","",INDEX('Data Entry'!$D$5:$Q$34,_xlfn.XMATCH(BJ7,'Data Entry'!$C$5:$C$34,0),_xlfn.XMATCH($N$5,'Data Entry'!$D$4:$Q$4,0)))</f>
        <v>33900</v>
      </c>
      <c r="BM7" t="str">
        <f t="shared" si="2"/>
        <v>33,900</v>
      </c>
      <c r="BN7" cm="1">
        <f t="array" ref="BN7">IF(BJ7="","",INDEX('Data Entry'!$AA$5:$AN$34,_xlfn.XMATCH(BJ7,'Data Entry'!$Z$5:$Z$34,0),_xlfn.XMATCH($N$5,'Data Entry'!$AA$4:$AN$4,0)))</f>
        <v>-0.12853470437017994</v>
      </c>
      <c r="BO7" s="16" t="str">
        <f t="shared" si="1"/>
        <v>▼ 12.85%</v>
      </c>
      <c r="BQ7" s="1" t="s">
        <v>25</v>
      </c>
      <c r="BR7" s="1" t="str">
        <f>'Data Entry'!C28</f>
        <v>FB - Views</v>
      </c>
      <c r="BU7" s="9" t="str">
        <f>MensData[[#Headers],[Aug-26]]</f>
        <v>Aug-26</v>
      </c>
      <c r="BV7" s="30" cm="1">
        <f t="array" ref="BV7">INDEX('Data Entry'!$D$5:$Q$34, _xlfn.XMATCH($BS$3,'Data Entry'!$C$5:$C$34,0), _xlfn.XMATCH(BU7,'Data Entry'!$D$4:$Q$4,0))</f>
        <v>22400</v>
      </c>
      <c r="BX7" s="9" t="str">
        <f t="shared" si="3"/>
        <v>Aug-26</v>
      </c>
      <c r="BY7" s="30" cm="1">
        <f t="array" ref="BY7">INDEX('Data Entry'!$D$5:$Q$34,
_xlfn.XMATCH($V$24,'Data Entry'!$C$5:$C$34,0),
_xlfn.XMATCH(BX7,'Data Entry'!$D$4:$Q$4,0))</f>
        <v>71900</v>
      </c>
      <c r="CB7" s="9" t="str">
        <f t="shared" si="4"/>
        <v>Aug-26</v>
      </c>
      <c r="CC7" s="30" cm="1">
        <f t="array" ref="CC7">INDEX('Data Entry'!$D$5:$Q$34, _xlfn.XMATCH($V$34,'Data Entry'!$C$5:$C$34,0), _xlfn.XMATCH(CB7,'Data Entry'!$D$4:$Q$4,0))</f>
        <v>613900</v>
      </c>
      <c r="CE7" s="9"/>
      <c r="CF7" t="s">
        <v>149</v>
      </c>
      <c r="CG7" s="30">
        <f>_xlfn.MINIFS(CC4:CC17,CC4:CC17,"&gt;0")</f>
        <v>207700</v>
      </c>
      <c r="CJ7" s="1" t="s">
        <v>145</v>
      </c>
      <c r="CK7" s="16" t="str">
        <f>COUNTIF($CO$23:$CO$39,"&lt;0")&amp;" / "&amp;COUNTIF($CL$23:$CL$39,"?*")</f>
        <v>0 / 6</v>
      </c>
    </row>
    <row r="8" spans="2:95">
      <c r="B8" s="24"/>
      <c r="C8" s="14"/>
      <c r="D8" s="14"/>
      <c r="E8" s="14"/>
      <c r="F8" s="14"/>
      <c r="G8" s="14"/>
      <c r="H8" s="14"/>
      <c r="I8" s="14"/>
      <c r="J8" s="14"/>
      <c r="K8" s="14"/>
      <c r="L8" s="14"/>
      <c r="M8" s="14"/>
      <c r="N8" s="14"/>
      <c r="O8" s="14"/>
      <c r="P8" s="14"/>
      <c r="Q8" s="14"/>
      <c r="R8" s="14"/>
      <c r="S8" s="14"/>
      <c r="T8" s="14"/>
      <c r="U8" s="14"/>
      <c r="V8" s="14"/>
      <c r="W8" s="25"/>
      <c r="BB8" s="1" t="str">
        <v>X - Replies</v>
      </c>
      <c r="BJ8" s="1" t="str" cm="1">
        <f t="array" ref="BJ8">IFERROR(INDEX(_xlfn.ANCHORARRAY($BB$3),ROWS($BF$2:BF7)),"")</f>
        <v>X - Replies</v>
      </c>
      <c r="BK8" s="1" t="str">
        <f t="shared" si="0"/>
        <v>Replies</v>
      </c>
      <c r="BL8" s="31" cm="1">
        <f t="array" ref="BL8">IF(BJ8="","",INDEX('Data Entry'!$D$5:$Q$34,_xlfn.XMATCH(BJ8,'Data Entry'!$C$5:$C$34,0),_xlfn.XMATCH($N$5,'Data Entry'!$D$4:$Q$4,0)))</f>
        <v>3900</v>
      </c>
      <c r="BM8" t="str">
        <f t="shared" si="2"/>
        <v>3,900</v>
      </c>
      <c r="BN8" cm="1">
        <f t="array" ref="BN8">IF(BJ8="","",INDEX('Data Entry'!$AA$5:$AN$34,_xlfn.XMATCH(BJ8,'Data Entry'!$Z$5:$Z$34,0),_xlfn.XMATCH($N$5,'Data Entry'!$AA$4:$AN$4,0)))</f>
        <v>0.21875</v>
      </c>
      <c r="BO8" s="16" t="str">
        <f t="shared" si="1"/>
        <v>▲ 21.88%</v>
      </c>
      <c r="BQ8" s="1" t="s">
        <v>135</v>
      </c>
      <c r="BR8" s="1" t="str">
        <f>'Data Entry'!C32</f>
        <v>LINKEDIN - Impressions</v>
      </c>
      <c r="BU8" s="9" t="str">
        <f>MensData[[#Headers],[Sep-26]]</f>
        <v>Sep-26</v>
      </c>
      <c r="BV8" s="30" cm="1">
        <f t="array" ref="BV8">INDEX('Data Entry'!$D$5:$Q$34, _xlfn.XMATCH($BS$3,'Data Entry'!$C$5:$C$34,0), _xlfn.XMATCH(BU8,'Data Entry'!$D$4:$Q$4,0))</f>
        <v>15600</v>
      </c>
      <c r="BX8" s="9" t="str">
        <f t="shared" si="3"/>
        <v>Sep-26</v>
      </c>
      <c r="BY8" s="30" cm="1">
        <f t="array" ref="BY8">INDEX('Data Entry'!$D$5:$Q$34,
_xlfn.XMATCH($V$24,'Data Entry'!$C$5:$C$34,0),
_xlfn.XMATCH(BX8,'Data Entry'!$D$4:$Q$4,0))</f>
        <v>68100</v>
      </c>
      <c r="CB8" s="9" t="str">
        <f t="shared" si="4"/>
        <v>Sep-26</v>
      </c>
      <c r="CC8" s="30" cm="1">
        <f t="array" ref="CC8">INDEX('Data Entry'!$D$5:$Q$34, _xlfn.XMATCH($V$34,'Data Entry'!$C$5:$C$34,0), _xlfn.XMATCH(CB8,'Data Entry'!$D$4:$Q$4,0))</f>
        <v>322100</v>
      </c>
      <c r="CE8" s="9"/>
      <c r="CF8" t="s">
        <v>148</v>
      </c>
      <c r="CG8" s="10">
        <f>AVERAGEIF(CC4:CC17,"&lt;&gt;0")</f>
        <v>435595.85714285716</v>
      </c>
    </row>
    <row r="9" spans="2:95">
      <c r="B9" s="24"/>
      <c r="C9" s="14"/>
      <c r="D9" s="14"/>
      <c r="E9" s="14"/>
      <c r="F9" s="14"/>
      <c r="G9" s="14"/>
      <c r="H9" s="14"/>
      <c r="I9" s="14"/>
      <c r="J9" s="14"/>
      <c r="K9" s="14"/>
      <c r="L9" s="14"/>
      <c r="M9" s="14"/>
      <c r="N9" s="14"/>
      <c r="O9" s="14"/>
      <c r="P9" s="14"/>
      <c r="Q9" s="14"/>
      <c r="R9" s="14"/>
      <c r="S9" s="14"/>
      <c r="T9" s="14"/>
      <c r="U9" s="14"/>
      <c r="V9" s="14"/>
      <c r="W9" s="25"/>
      <c r="BB9" s="1" t="str">
        <v>X - Likes</v>
      </c>
      <c r="BJ9" s="1" t="str" cm="1">
        <f t="array" ref="BJ9">IFERROR(INDEX(_xlfn.ANCHORARRAY($BB$3),ROWS($BF$2:BF8)),"")</f>
        <v>X - Likes</v>
      </c>
      <c r="BK9" s="1" t="str">
        <f t="shared" si="0"/>
        <v>Likes</v>
      </c>
      <c r="BL9" s="31" cm="1">
        <f t="array" ref="BL9">IF(BJ9="","",INDEX('Data Entry'!$D$5:$Q$34,_xlfn.XMATCH(BJ9,'Data Entry'!$C$5:$C$34,0),_xlfn.XMATCH($N$5,'Data Entry'!$D$4:$Q$4,0)))</f>
        <v>26300</v>
      </c>
      <c r="BM9" t="str">
        <f t="shared" si="2"/>
        <v>26,300</v>
      </c>
      <c r="BN9" cm="1">
        <f t="array" ref="BN9">IF(BJ9="","",INDEX('Data Entry'!$AA$5:$AN$34,_xlfn.XMATCH(BJ9,'Data Entry'!$Z$5:$Z$34,0),_xlfn.XMATCH($N$5,'Data Entry'!$AA$4:$AN$4,0)))</f>
        <v>0.16888888888888889</v>
      </c>
      <c r="BO9" s="16" t="str">
        <f t="shared" si="1"/>
        <v>▲ 16.89%</v>
      </c>
      <c r="BU9" s="9" t="str">
        <f>MensData[[#Headers],[Oct-26]]</f>
        <v>Oct-26</v>
      </c>
      <c r="BV9" s="30" cm="1">
        <f t="array" ref="BV9">INDEX('Data Entry'!$D$5:$Q$34, _xlfn.XMATCH($BS$3,'Data Entry'!$C$5:$C$34,0), _xlfn.XMATCH(BU9,'Data Entry'!$D$4:$Q$4,0))</f>
        <v>5199</v>
      </c>
      <c r="BX9" s="9" t="str">
        <f t="shared" si="3"/>
        <v>Oct-26</v>
      </c>
      <c r="BY9" s="30" cm="1">
        <f t="array" ref="BY9">INDEX('Data Entry'!$D$5:$Q$34,
_xlfn.XMATCH($V$24,'Data Entry'!$C$5:$C$34,0),
_xlfn.XMATCH(BX9,'Data Entry'!$D$4:$Q$4,0))</f>
        <v>34300</v>
      </c>
      <c r="CB9" s="9" t="str">
        <f t="shared" si="4"/>
        <v>Oct-26</v>
      </c>
      <c r="CC9" s="30" cm="1">
        <f t="array" ref="CC9">INDEX('Data Entry'!$D$5:$Q$34, _xlfn.XMATCH($V$34,'Data Entry'!$C$5:$C$34,0), _xlfn.XMATCH(CB9,'Data Entry'!$D$4:$Q$4,0))</f>
        <v>233500</v>
      </c>
      <c r="CE9" s="9"/>
      <c r="CF9" t="s">
        <v>147</v>
      </c>
      <c r="CG9" s="18" t="str">
        <f>$N$5</f>
        <v>Dec-26</v>
      </c>
    </row>
    <row r="10" spans="2:95">
      <c r="B10" s="24"/>
      <c r="C10" s="14"/>
      <c r="D10" s="14"/>
      <c r="E10" s="14"/>
      <c r="F10" s="14"/>
      <c r="G10" s="14"/>
      <c r="H10" s="14"/>
      <c r="I10" s="14"/>
      <c r="J10" s="14"/>
      <c r="K10" s="14"/>
      <c r="L10" s="14"/>
      <c r="M10" s="14"/>
      <c r="N10" s="14"/>
      <c r="O10" s="14"/>
      <c r="P10" s="14"/>
      <c r="Q10" s="14"/>
      <c r="R10" s="14"/>
      <c r="S10" s="14"/>
      <c r="T10" s="14"/>
      <c r="U10" s="14"/>
      <c r="V10" s="14"/>
      <c r="W10" s="25"/>
      <c r="BB10" s="1" t="str">
        <v>X - Reposts</v>
      </c>
      <c r="BJ10" s="1" t="str" cm="1">
        <f t="array" ref="BJ10">IFERROR(INDEX(_xlfn.ANCHORARRAY($BB$3),ROWS($BF$2:BF9)),"")</f>
        <v>X - Reposts</v>
      </c>
      <c r="BK10" s="1" t="str">
        <f t="shared" si="0"/>
        <v>Reposts</v>
      </c>
      <c r="BL10" s="31" cm="1">
        <f t="array" ref="BL10">IF(BJ10="","",INDEX('Data Entry'!$D$5:$Q$34,_xlfn.XMATCH(BJ10,'Data Entry'!$C$5:$C$34,0),_xlfn.XMATCH($N$5,'Data Entry'!$D$4:$Q$4,0)))</f>
        <v>1300</v>
      </c>
      <c r="BM10" t="str">
        <f t="shared" si="2"/>
        <v>1,300</v>
      </c>
      <c r="BN10" cm="1">
        <f t="array" ref="BN10">IF(BJ10="","",INDEX('Data Entry'!$AA$5:$AN$34,_xlfn.XMATCH(BJ10,'Data Entry'!$Z$5:$Z$34,0),_xlfn.XMATCH($N$5,'Data Entry'!$AA$4:$AN$4,0)))</f>
        <v>-7.1428571428571425E-2</v>
      </c>
      <c r="BO10" s="16" t="str">
        <f t="shared" si="1"/>
        <v>▼ 7.14%</v>
      </c>
      <c r="BU10" s="9" t="str">
        <f>MensData[[#Headers],[Nov-26]]</f>
        <v>Nov-26</v>
      </c>
      <c r="BV10" s="30" cm="1">
        <f t="array" ref="BV10">INDEX('Data Entry'!$D$5:$Q$34, _xlfn.XMATCH($BS$3,'Data Entry'!$C$5:$C$34,0), _xlfn.XMATCH(BU10,'Data Entry'!$D$4:$Q$4,0))</f>
        <v>4745</v>
      </c>
      <c r="BX10" s="9" t="str">
        <f t="shared" si="3"/>
        <v>Nov-26</v>
      </c>
      <c r="BY10" s="30" cm="1">
        <f t="array" ref="BY10">INDEX('Data Entry'!$D$5:$Q$34,
_xlfn.XMATCH($V$24,'Data Entry'!$C$5:$C$34,0),
_xlfn.XMATCH(BX10,'Data Entry'!$D$4:$Q$4,0))</f>
        <v>38900</v>
      </c>
      <c r="CB10" s="9" t="str">
        <f t="shared" si="4"/>
        <v>Nov-26</v>
      </c>
      <c r="CC10" s="30" cm="1">
        <f t="array" ref="CC10">INDEX('Data Entry'!$D$5:$Q$34, _xlfn.XMATCH($V$34,'Data Entry'!$C$5:$C$34,0), _xlfn.XMATCH(CB10,'Data Entry'!$D$4:$Q$4,0))</f>
        <v>207700</v>
      </c>
      <c r="CE10" s="9"/>
      <c r="CF10" t="s">
        <v>146</v>
      </c>
      <c r="CG10" s="31">
        <f>_xlfn.XLOOKUP($N$5,$CB$4:$CB$17,$CC$4:$CC$17,"")</f>
        <v>255432</v>
      </c>
    </row>
    <row r="11" spans="2:95">
      <c r="B11" s="24"/>
      <c r="C11" s="14"/>
      <c r="D11" s="14"/>
      <c r="E11" s="14"/>
      <c r="F11" s="14"/>
      <c r="G11" s="14"/>
      <c r="H11" s="14"/>
      <c r="I11" s="14"/>
      <c r="J11" s="14"/>
      <c r="K11" s="14"/>
      <c r="L11" s="14"/>
      <c r="M11" s="14"/>
      <c r="N11" s="14"/>
      <c r="O11" s="14"/>
      <c r="P11" s="14"/>
      <c r="Q11" s="14"/>
      <c r="R11" s="14"/>
      <c r="S11" s="14"/>
      <c r="T11" s="14"/>
      <c r="U11" s="14"/>
      <c r="V11" s="14"/>
      <c r="W11" s="25"/>
      <c r="BB11" s="1" t="str">
        <v>X - Bookmarks</v>
      </c>
      <c r="BJ11" s="1" t="str" cm="1">
        <f t="array" ref="BJ11">IFERROR(INDEX(_xlfn.ANCHORARRAY($BB$3),ROWS($BF$2:BF10)),"")</f>
        <v>X - Bookmarks</v>
      </c>
      <c r="BK11" s="1" t="str">
        <f t="shared" si="0"/>
        <v>Bookmarks</v>
      </c>
      <c r="BL11" s="31" cm="1">
        <f t="array" ref="BL11">IF(BJ11="","",INDEX('Data Entry'!$D$5:$Q$34,_xlfn.XMATCH(BJ11,'Data Entry'!$C$5:$C$34,0),_xlfn.XMATCH($N$5,'Data Entry'!$D$4:$Q$4,0)))</f>
        <v>527</v>
      </c>
      <c r="BM11" t="str">
        <f t="shared" si="2"/>
        <v>527</v>
      </c>
      <c r="BN11" cm="1">
        <f t="array" ref="BN11">IF(BJ11="","",INDEX('Data Entry'!$AA$5:$AN$34,_xlfn.XMATCH(BJ11,'Data Entry'!$Z$5:$Z$34,0),_xlfn.XMATCH($N$5,'Data Entry'!$AA$4:$AN$4,0)))</f>
        <v>0.18161434977578475</v>
      </c>
      <c r="BO11" s="16" t="str">
        <f t="shared" si="1"/>
        <v>▲ 18.16%</v>
      </c>
      <c r="BU11" s="9" t="str">
        <f>MensData[[#Headers],[Dec-26]]</f>
        <v>Dec-26</v>
      </c>
      <c r="BV11" s="30" cm="1">
        <f t="array" ref="BV11">INDEX('Data Entry'!$D$5:$Q$34, _xlfn.XMATCH($BS$3,'Data Entry'!$C$5:$C$34,0), _xlfn.XMATCH(BU11,'Data Entry'!$D$4:$Q$4,0))</f>
        <v>5639</v>
      </c>
      <c r="BX11" s="9" t="str">
        <f t="shared" si="3"/>
        <v>Dec-26</v>
      </c>
      <c r="BY11" s="30" cm="1">
        <f t="array" ref="BY11">INDEX('Data Entry'!$D$5:$Q$34,
_xlfn.XMATCH($V$24,'Data Entry'!$C$5:$C$34,0),
_xlfn.XMATCH(BX11,'Data Entry'!$D$4:$Q$4,0))</f>
        <v>33900</v>
      </c>
      <c r="CB11" s="9" t="str">
        <f t="shared" si="4"/>
        <v>Dec-26</v>
      </c>
      <c r="CC11" s="30" cm="1">
        <f t="array" ref="CC11">INDEX('Data Entry'!$D$5:$Q$34, _xlfn.XMATCH($V$34,'Data Entry'!$C$5:$C$34,0), _xlfn.XMATCH(CB11,'Data Entry'!$D$4:$Q$4,0))</f>
        <v>255432</v>
      </c>
      <c r="CE11" s="9"/>
      <c r="CF11" t="s">
        <v>153</v>
      </c>
      <c r="CG11" s="1">
        <f>(CG10-CG8)/CG8</f>
        <v>-0.41360323838840135</v>
      </c>
      <c r="CH11" t="str">
        <f>IF((CG10-CG8)/CG8&gt;0, "▲ "&amp;TEXT((CG10-CG8)/CG8,"0.0%"), IF((CG10-CG8)/CG8&lt;0, "▼ "&amp;TEXT(ABS((CG10-CG8)/CG8),"0.0%"), "– 0.0%"))</f>
        <v>▼ 41.4%</v>
      </c>
    </row>
    <row r="12" spans="2:95">
      <c r="B12" s="24"/>
      <c r="C12" s="14"/>
      <c r="D12" s="14"/>
      <c r="E12" s="14"/>
      <c r="F12" s="14"/>
      <c r="G12" s="14"/>
      <c r="H12" s="14"/>
      <c r="I12" s="14"/>
      <c r="J12" s="14"/>
      <c r="K12" s="14"/>
      <c r="L12" s="14"/>
      <c r="M12" s="14"/>
      <c r="N12" s="14"/>
      <c r="O12" s="14"/>
      <c r="P12" s="14"/>
      <c r="Q12" s="14"/>
      <c r="R12" s="14"/>
      <c r="S12" s="14"/>
      <c r="T12" s="14"/>
      <c r="U12" s="14"/>
      <c r="V12" s="14"/>
      <c r="W12" s="25"/>
      <c r="BB12" s="1" t="str">
        <v>X - Shares</v>
      </c>
      <c r="BJ12" s="1" t="str" cm="1">
        <f t="array" ref="BJ12">IFERROR(INDEX(_xlfn.ANCHORARRAY($BB$3),ROWS($BF$2:BF11)),"")</f>
        <v>X - Shares</v>
      </c>
      <c r="BK12" s="1" t="str">
        <f t="shared" si="0"/>
        <v>Shares</v>
      </c>
      <c r="BL12" s="31" cm="1">
        <f t="array" ref="BL12">IF(BJ12="","",INDEX('Data Entry'!$D$5:$Q$34,_xlfn.XMATCH(BJ12,'Data Entry'!$C$5:$C$34,0),_xlfn.XMATCH($N$5,'Data Entry'!$D$4:$Q$4,0)))</f>
        <v>576</v>
      </c>
      <c r="BM12" t="str">
        <f t="shared" si="2"/>
        <v>576</v>
      </c>
      <c r="BN12" cm="1">
        <f t="array" ref="BN12">IF(BJ12="","",INDEX('Data Entry'!$AA$5:$AN$34,_xlfn.XMATCH(BJ12,'Data Entry'!$Z$5:$Z$34,0),_xlfn.XMATCH($N$5,'Data Entry'!$AA$4:$AN$4,0)))</f>
        <v>3.4843205574912892E-3</v>
      </c>
      <c r="BO12" s="16" t="str">
        <f t="shared" si="1"/>
        <v>▲ 0.35%</v>
      </c>
      <c r="BU12" s="9" t="str">
        <f>MensData[[#Headers],[Jan-27]]</f>
        <v>Jan-27</v>
      </c>
      <c r="BV12" s="30" cm="1">
        <f t="array" ref="BV12">INDEX('Data Entry'!$D$5:$Q$34, _xlfn.XMATCH($BS$3,'Data Entry'!$C$5:$C$34,0), _xlfn.XMATCH(BU12,'Data Entry'!$D$4:$Q$4,0))</f>
        <v>16500</v>
      </c>
      <c r="BX12" s="9" t="str">
        <f t="shared" si="3"/>
        <v>Jan-27</v>
      </c>
      <c r="BY12" s="30" cm="1">
        <f t="array" ref="BY12">INDEX('Data Entry'!$D$5:$Q$34,
_xlfn.XMATCH($V$24,'Data Entry'!$C$5:$C$34,0),
_xlfn.XMATCH(BX12,'Data Entry'!$D$4:$Q$4,0))</f>
        <v>69040</v>
      </c>
      <c r="CB12" s="9" t="str">
        <f t="shared" si="4"/>
        <v>Jan-27</v>
      </c>
      <c r="CC12" s="30" cm="1">
        <f t="array" ref="CC12">INDEX('Data Entry'!$D$5:$Q$34, _xlfn.XMATCH($V$34,'Data Entry'!$C$5:$C$34,0), _xlfn.XMATCH(CB12,'Data Entry'!$D$4:$Q$4,0))</f>
        <v>464100</v>
      </c>
      <c r="CE12" s="9"/>
      <c r="CF12"/>
    </row>
    <row r="13" spans="2:95">
      <c r="B13" s="24"/>
      <c r="C13" s="14"/>
      <c r="D13" s="14"/>
      <c r="E13" s="14"/>
      <c r="F13" s="14"/>
      <c r="G13" s="14"/>
      <c r="H13" s="14"/>
      <c r="I13" s="14"/>
      <c r="J13" s="14"/>
      <c r="K13" s="14"/>
      <c r="L13" s="14"/>
      <c r="M13" s="14"/>
      <c r="N13" s="14"/>
      <c r="O13" s="14"/>
      <c r="P13" s="14"/>
      <c r="Q13" s="14"/>
      <c r="R13" s="14"/>
      <c r="S13" s="14"/>
      <c r="T13" s="14"/>
      <c r="U13" s="14"/>
      <c r="V13" s="14"/>
      <c r="W13" s="25"/>
      <c r="BB13" s="1" t="str">
        <v>X - Video Views</v>
      </c>
      <c r="BJ13" s="1" t="str" cm="1">
        <f t="array" ref="BJ13">IFERROR(INDEX(_xlfn.ANCHORARRAY($BB$3),ROWS($BF$2:BF12)),"")</f>
        <v>X - Video Views</v>
      </c>
      <c r="BK13" s="1" t="str">
        <f t="shared" si="0"/>
        <v>Video Views</v>
      </c>
      <c r="BL13" s="31" cm="1">
        <f t="array" ref="BL13">IF(BJ13="","",INDEX('Data Entry'!$D$5:$Q$34,_xlfn.XMATCH(BJ13,'Data Entry'!$C$5:$C$34,0),_xlfn.XMATCH($N$5,'Data Entry'!$D$4:$Q$4,0)))</f>
        <v>255432</v>
      </c>
      <c r="BM13" t="str">
        <f t="shared" si="2"/>
        <v>255,432</v>
      </c>
      <c r="BN13" cm="1">
        <f t="array" ref="BN13">IF(BJ13="","",INDEX('Data Entry'!$AA$5:$AN$34,_xlfn.XMATCH(BJ13,'Data Entry'!$Z$5:$Z$34,0),_xlfn.XMATCH($N$5,'Data Entry'!$AA$4:$AN$4,0)))</f>
        <v>0.22981222917669716</v>
      </c>
      <c r="BO13" s="16" t="str">
        <f t="shared" si="1"/>
        <v>▲ 22.98%</v>
      </c>
      <c r="BU13" s="9" t="str">
        <f>MensData[[#Headers],[Feb-27]]</f>
        <v>Feb-27</v>
      </c>
      <c r="BV13" s="30" cm="1">
        <f t="array" ref="BV13">INDEX('Data Entry'!$D$5:$Q$34, _xlfn.XMATCH($BS$3,'Data Entry'!$C$5:$C$34,0), _xlfn.XMATCH(BU13,'Data Entry'!$D$4:$Q$4,0))</f>
        <v>4354</v>
      </c>
      <c r="BX13" s="9" t="str">
        <f t="shared" si="3"/>
        <v>Feb-27</v>
      </c>
      <c r="BY13" s="30" cm="1">
        <f t="array" ref="BY13">INDEX('Data Entry'!$D$5:$Q$34,
_xlfn.XMATCH($V$24,'Data Entry'!$C$5:$C$34,0),
_xlfn.XMATCH(BX13,'Data Entry'!$D$4:$Q$4,0))</f>
        <v>70123</v>
      </c>
      <c r="CB13" s="9" t="str">
        <f t="shared" si="4"/>
        <v>Feb-27</v>
      </c>
      <c r="CC13" s="30" cm="1">
        <f t="array" ref="CC13">INDEX('Data Entry'!$D$5:$Q$34, _xlfn.XMATCH($V$34,'Data Entry'!$C$5:$C$34,0), _xlfn.XMATCH(CB13,'Data Entry'!$D$4:$Q$4,0))</f>
        <v>450000</v>
      </c>
      <c r="CE13" s="9"/>
      <c r="CF13"/>
    </row>
    <row r="14" spans="2:95">
      <c r="B14" s="24"/>
      <c r="C14" s="14"/>
      <c r="D14" s="14"/>
      <c r="E14" s="14"/>
      <c r="F14" s="14"/>
      <c r="G14" s="14"/>
      <c r="H14" s="14"/>
      <c r="I14" s="14"/>
      <c r="J14" s="14"/>
      <c r="K14" s="14"/>
      <c r="L14" s="14"/>
      <c r="M14" s="14"/>
      <c r="N14" s="14"/>
      <c r="O14" s="14"/>
      <c r="P14" s="14"/>
      <c r="Q14" s="14"/>
      <c r="R14" s="14"/>
      <c r="S14" s="14"/>
      <c r="T14" s="14"/>
      <c r="U14" s="14"/>
      <c r="V14" s="14"/>
      <c r="W14" s="25"/>
      <c r="BJ14" s="1" t="str" cm="1">
        <f t="array" ref="BJ14">IFERROR(INDEX(_xlfn.ANCHORARRAY($BB$3),ROWS($BF$2:BF13)),"")</f>
        <v/>
      </c>
      <c r="BK14" s="1" t="str">
        <f t="shared" si="0"/>
        <v/>
      </c>
      <c r="BL14" s="31" t="str" cm="1">
        <f t="array" ref="BL14">IF(BJ14="","",INDEX('Data Entry'!$D$5:$Q$34,_xlfn.XMATCH(BJ14,'Data Entry'!$C$5:$C$34,0),_xlfn.XMATCH($N$5,'Data Entry'!$D$4:$Q$4,0)))</f>
        <v/>
      </c>
      <c r="BM14" t="str">
        <f t="shared" si="2"/>
        <v/>
      </c>
      <c r="BN14" t="str" cm="1">
        <f t="array" ref="BN14">IF(BJ14="","",INDEX('Data Entry'!$AA$5:$AN$34,_xlfn.XMATCH(BJ14,'Data Entry'!$Z$5:$Z$34,0),_xlfn.XMATCH($N$5,'Data Entry'!$AA$4:$AN$4,0)))</f>
        <v/>
      </c>
      <c r="BO14" s="16" t="str">
        <f t="shared" si="1"/>
        <v/>
      </c>
      <c r="BU14" s="9" t="str">
        <f>MensData[[#Headers],[Mar-27]]</f>
        <v>Mar-27</v>
      </c>
      <c r="BV14" s="30" cm="1">
        <f t="array" ref="BV14">INDEX('Data Entry'!$D$5:$Q$34, _xlfn.XMATCH($BS$3,'Data Entry'!$C$5:$C$34,0), _xlfn.XMATCH(BU14,'Data Entry'!$D$4:$Q$4,0))</f>
        <v>3243</v>
      </c>
      <c r="BX14" s="9" t="str">
        <f t="shared" si="3"/>
        <v>Mar-27</v>
      </c>
      <c r="BY14" s="30" cm="1">
        <f t="array" ref="BY14">INDEX('Data Entry'!$D$5:$Q$34,
_xlfn.XMATCH($V$24,'Data Entry'!$C$5:$C$34,0),
_xlfn.XMATCH(BX14,'Data Entry'!$D$4:$Q$4,0))</f>
        <v>67888</v>
      </c>
      <c r="CB14" s="9" t="str">
        <f t="shared" si="4"/>
        <v>Mar-27</v>
      </c>
      <c r="CC14" s="30" cm="1">
        <f t="array" ref="CC14">INDEX('Data Entry'!$D$5:$Q$34, _xlfn.XMATCH($V$34,'Data Entry'!$C$5:$C$34,0), _xlfn.XMATCH(CB14,'Data Entry'!$D$4:$Q$4,0))</f>
        <v>465789</v>
      </c>
      <c r="CE14" s="9"/>
      <c r="CF14"/>
    </row>
    <row r="15" spans="2:95">
      <c r="B15" s="24"/>
      <c r="C15" s="14"/>
      <c r="D15" s="14"/>
      <c r="E15" s="14"/>
      <c r="F15" s="14"/>
      <c r="G15" s="14"/>
      <c r="H15" s="14"/>
      <c r="I15" s="14"/>
      <c r="J15" s="14"/>
      <c r="K15" s="14"/>
      <c r="L15" s="14"/>
      <c r="M15" s="14"/>
      <c r="N15" s="14"/>
      <c r="O15" s="14"/>
      <c r="P15" s="14"/>
      <c r="Q15" s="14"/>
      <c r="R15" s="14"/>
      <c r="S15" s="14"/>
      <c r="T15" s="14"/>
      <c r="U15" s="14"/>
      <c r="V15" s="14"/>
      <c r="W15" s="25"/>
      <c r="BJ15" s="1" t="str" cm="1">
        <f t="array" ref="BJ15">IFERROR(INDEX(_xlfn.ANCHORARRAY($BB$3),ROWS($BF$2:BF14)),"")</f>
        <v/>
      </c>
      <c r="BK15" s="1" t="str">
        <f t="shared" si="0"/>
        <v/>
      </c>
      <c r="BL15" s="31" t="str" cm="1">
        <f t="array" ref="BL15">IF(BJ15="","",INDEX('Data Entry'!$D$5:$Q$34,_xlfn.XMATCH(BJ15,'Data Entry'!$C$5:$C$34,0),_xlfn.XMATCH($N$5,'Data Entry'!$D$4:$Q$4,0)))</f>
        <v/>
      </c>
      <c r="BM15" t="str">
        <f t="shared" si="2"/>
        <v/>
      </c>
      <c r="BN15" t="str" cm="1">
        <f t="array" ref="BN15">IF(BJ15="","",INDEX('Data Entry'!$AA$5:$AN$34,_xlfn.XMATCH(BJ15,'Data Entry'!$Z$5:$Z$34,0),_xlfn.XMATCH($N$5,'Data Entry'!$AA$4:$AN$4,0)))</f>
        <v/>
      </c>
      <c r="BO15" s="16" t="str">
        <f t="shared" si="1"/>
        <v/>
      </c>
      <c r="BU15" s="9" t="str">
        <f>MensData[[#Headers],[Apr-27]]</f>
        <v>Apr-27</v>
      </c>
      <c r="BV15" s="30" cm="1">
        <f t="array" ref="BV15">INDEX('Data Entry'!$D$5:$Q$34, _xlfn.XMATCH($BS$3,'Data Entry'!$C$5:$C$34,0), _xlfn.XMATCH(BU15,'Data Entry'!$D$4:$Q$4,0))</f>
        <v>3453</v>
      </c>
      <c r="BX15" s="9" t="str">
        <f t="shared" si="3"/>
        <v>Apr-27</v>
      </c>
      <c r="BY15" s="30" cm="1">
        <f t="array" ref="BY15">INDEX('Data Entry'!$D$5:$Q$34,
_xlfn.XMATCH($V$24,'Data Entry'!$C$5:$C$34,0),
_xlfn.XMATCH(BX15,'Data Entry'!$D$4:$Q$4,0))</f>
        <v>65768</v>
      </c>
      <c r="CB15" s="9" t="str">
        <f t="shared" si="4"/>
        <v>Apr-27</v>
      </c>
      <c r="CC15" s="30" cm="1">
        <f t="array" ref="CC15">INDEX('Data Entry'!$D$5:$Q$34, _xlfn.XMATCH($V$34,'Data Entry'!$C$5:$C$34,0), _xlfn.XMATCH(CB15,'Data Entry'!$D$4:$Q$4,0))</f>
        <v>657000</v>
      </c>
      <c r="CE15" s="9"/>
      <c r="CF15"/>
    </row>
    <row r="16" spans="2:95">
      <c r="B16" s="24"/>
      <c r="C16" s="14"/>
      <c r="D16" s="14"/>
      <c r="E16" s="14"/>
      <c r="F16" s="14"/>
      <c r="G16" s="14"/>
      <c r="H16" s="14"/>
      <c r="I16" s="14"/>
      <c r="J16" s="14"/>
      <c r="K16" s="14"/>
      <c r="L16" s="14"/>
      <c r="M16" s="14"/>
      <c r="N16" s="14"/>
      <c r="O16" s="14"/>
      <c r="P16" s="14"/>
      <c r="Q16" s="14"/>
      <c r="R16" s="14"/>
      <c r="S16" s="14"/>
      <c r="T16" s="14"/>
      <c r="U16" s="14"/>
      <c r="V16" s="14"/>
      <c r="W16" s="25"/>
      <c r="BL16" s="10"/>
      <c r="BM16" s="10"/>
      <c r="BU16" s="9" t="str">
        <f>MensData[[#Headers],[May-27]]</f>
        <v>May-27</v>
      </c>
      <c r="BV16" s="30" cm="1">
        <f t="array" ref="BV16">INDEX('Data Entry'!$D$5:$Q$34, _xlfn.XMATCH($BS$3,'Data Entry'!$C$5:$C$34,0), _xlfn.XMATCH(BU16,'Data Entry'!$D$4:$Q$4,0))</f>
        <v>5555</v>
      </c>
      <c r="BX16" s="9" t="str">
        <f t="shared" si="3"/>
        <v>May-27</v>
      </c>
      <c r="BY16" s="30" cm="1">
        <f t="array" ref="BY16">INDEX('Data Entry'!$D$5:$Q$34,
_xlfn.XMATCH($V$24,'Data Entry'!$C$5:$C$34,0),
_xlfn.XMATCH(BX16,'Data Entry'!$D$4:$Q$4,0))</f>
        <v>64555</v>
      </c>
      <c r="CB16" s="9" t="str">
        <f t="shared" si="4"/>
        <v>May-27</v>
      </c>
      <c r="CC16" s="30" cm="1">
        <f t="array" ref="CC16">INDEX('Data Entry'!$D$5:$Q$34, _xlfn.XMATCH($V$34,'Data Entry'!$C$5:$C$34,0), _xlfn.XMATCH(CB16,'Data Entry'!$D$4:$Q$4,0))</f>
        <v>451232</v>
      </c>
      <c r="CE16" s="9"/>
      <c r="CF16"/>
    </row>
    <row r="17" spans="2:95">
      <c r="B17" s="24"/>
      <c r="C17" s="14"/>
      <c r="D17" s="14"/>
      <c r="E17" s="14"/>
      <c r="F17" s="14"/>
      <c r="G17" s="14"/>
      <c r="H17" s="14"/>
      <c r="I17" s="14"/>
      <c r="J17" s="14"/>
      <c r="K17" s="14"/>
      <c r="L17" s="14"/>
      <c r="M17" s="14"/>
      <c r="N17" s="14"/>
      <c r="O17" s="14"/>
      <c r="P17" s="14"/>
      <c r="Q17" s="14"/>
      <c r="R17" s="14"/>
      <c r="S17" s="14"/>
      <c r="T17" s="14"/>
      <c r="U17" s="14"/>
      <c r="V17" s="14"/>
      <c r="W17" s="25"/>
      <c r="BL17" s="10"/>
      <c r="BM17" s="10"/>
      <c r="BU17" s="9" t="str">
        <f>MensData[[#Headers],[Jun-27]]</f>
        <v>Jun-27</v>
      </c>
      <c r="BV17" s="30" cm="1">
        <f t="array" ref="BV17">INDEX('Data Entry'!$D$5:$Q$34, _xlfn.XMATCH($BS$3,'Data Entry'!$C$5:$C$34,0), _xlfn.XMATCH(BU17,'Data Entry'!$D$4:$Q$4,0))</f>
        <v>4365</v>
      </c>
      <c r="BX17" s="9" t="str">
        <f t="shared" si="3"/>
        <v>Jun-27</v>
      </c>
      <c r="BY17" s="30" cm="1">
        <f t="array" ref="BY17">INDEX('Data Entry'!$D$5:$Q$34,
_xlfn.XMATCH($V$24,'Data Entry'!$C$5:$C$34,0),
_xlfn.XMATCH(BX17,'Data Entry'!$D$4:$Q$4,0))</f>
        <v>55432</v>
      </c>
      <c r="CB17" s="9" t="str">
        <f t="shared" si="4"/>
        <v>Jun-27</v>
      </c>
      <c r="CC17" s="30" cm="1">
        <f t="array" ref="CC17">INDEX('Data Entry'!$D$5:$Q$34, _xlfn.XMATCH($V$34,'Data Entry'!$C$5:$C$34,0), _xlfn.XMATCH(CB17,'Data Entry'!$D$4:$Q$4,0))</f>
        <v>442789</v>
      </c>
      <c r="CE17" s="9"/>
      <c r="CF17"/>
    </row>
    <row r="18" spans="2:95">
      <c r="B18" s="24"/>
      <c r="C18" s="14"/>
      <c r="D18" s="14"/>
      <c r="E18" s="14"/>
      <c r="F18" s="14"/>
      <c r="G18" s="14"/>
      <c r="H18" s="14"/>
      <c r="I18" s="14"/>
      <c r="J18" s="14"/>
      <c r="K18" s="14"/>
      <c r="L18" s="14"/>
      <c r="M18" s="14"/>
      <c r="N18" s="14"/>
      <c r="O18" s="14"/>
      <c r="P18" s="14"/>
      <c r="Q18" s="14"/>
      <c r="R18" s="14"/>
      <c r="S18" s="14"/>
      <c r="T18" s="14"/>
      <c r="U18" s="14"/>
      <c r="V18" s="14"/>
      <c r="W18" s="25"/>
      <c r="BV18" s="10"/>
      <c r="BY18" s="10"/>
      <c r="CC18" s="10"/>
    </row>
    <row r="19" spans="2:95">
      <c r="B19" s="24"/>
      <c r="C19" s="14"/>
      <c r="D19" s="14"/>
      <c r="E19" s="14"/>
      <c r="F19" s="14"/>
      <c r="G19" s="14"/>
      <c r="H19" s="14"/>
      <c r="I19" s="14"/>
      <c r="J19" s="14"/>
      <c r="K19" s="14"/>
      <c r="L19" s="14"/>
      <c r="M19" s="14"/>
      <c r="N19" s="14"/>
      <c r="O19" s="14"/>
      <c r="P19" s="14"/>
      <c r="Q19" s="14"/>
      <c r="R19" s="14"/>
      <c r="S19" s="14"/>
      <c r="T19" s="14"/>
      <c r="U19" s="14"/>
      <c r="V19" s="14"/>
      <c r="W19" s="25"/>
      <c r="BV19" s="10"/>
      <c r="BY19" s="10"/>
      <c r="CC19" s="10"/>
    </row>
    <row r="20" spans="2:95">
      <c r="B20" s="24"/>
      <c r="C20" s="14"/>
      <c r="D20" s="14"/>
      <c r="E20" s="14"/>
      <c r="F20" s="14"/>
      <c r="G20" s="14"/>
      <c r="H20" s="14"/>
      <c r="I20" s="14"/>
      <c r="J20" s="14"/>
      <c r="K20" s="14"/>
      <c r="L20" s="14"/>
      <c r="M20" s="14"/>
      <c r="N20" s="14"/>
      <c r="O20" s="14"/>
      <c r="P20" s="14"/>
      <c r="Q20" s="14"/>
      <c r="R20" s="14"/>
      <c r="S20" s="14"/>
      <c r="T20" s="14"/>
      <c r="U20" s="14"/>
      <c r="V20" s="14"/>
      <c r="W20" s="25"/>
      <c r="BV20" s="10"/>
      <c r="BY20" s="10"/>
      <c r="CC20" s="10"/>
    </row>
    <row r="21" spans="2:95">
      <c r="B21" s="24"/>
      <c r="C21" s="14"/>
      <c r="D21" s="14"/>
      <c r="E21" s="14"/>
      <c r="F21" s="14"/>
      <c r="G21" s="14"/>
      <c r="H21" s="14"/>
      <c r="I21" s="14"/>
      <c r="J21" s="14"/>
      <c r="K21" s="14"/>
      <c r="L21" s="14"/>
      <c r="M21" s="14"/>
      <c r="N21" s="14"/>
      <c r="O21" s="14"/>
      <c r="P21" s="14"/>
      <c r="Q21" s="14"/>
      <c r="R21" s="14"/>
      <c r="S21" s="14"/>
      <c r="T21" s="14"/>
      <c r="U21" s="14"/>
      <c r="V21" s="14"/>
      <c r="W21" s="25"/>
      <c r="BV21" s="10"/>
      <c r="BY21" s="10"/>
    </row>
    <row r="22" spans="2:95">
      <c r="B22" s="24"/>
      <c r="C22" s="14"/>
      <c r="D22" s="14"/>
      <c r="E22" s="14"/>
      <c r="F22" s="14"/>
      <c r="G22" s="14"/>
      <c r="H22" s="14"/>
      <c r="I22" s="14"/>
      <c r="J22" s="14"/>
      <c r="K22" s="14"/>
      <c r="L22" s="14"/>
      <c r="M22" s="14"/>
      <c r="N22" s="14"/>
      <c r="O22" s="14"/>
      <c r="P22" s="14"/>
      <c r="Q22" s="14"/>
      <c r="R22" s="14"/>
      <c r="S22" s="14"/>
      <c r="T22" s="14"/>
      <c r="U22" s="14"/>
      <c r="V22" s="14"/>
      <c r="W22" s="25"/>
      <c r="CL22" s="1" t="s">
        <v>2</v>
      </c>
      <c r="CM22" s="1" t="s">
        <v>132</v>
      </c>
      <c r="CN22" s="1" t="s">
        <v>74</v>
      </c>
      <c r="CO22" s="1" t="s">
        <v>133</v>
      </c>
      <c r="CP22" s="1" t="s">
        <v>134</v>
      </c>
    </row>
    <row r="23" spans="2:95" ht="17.5">
      <c r="B23" s="24"/>
      <c r="C23" s="32" t="s">
        <v>155</v>
      </c>
      <c r="D23" s="14"/>
      <c r="E23" s="14"/>
      <c r="F23" s="14"/>
      <c r="G23" s="14"/>
      <c r="H23" s="14"/>
      <c r="I23" s="14"/>
      <c r="J23" s="14"/>
      <c r="K23" s="14"/>
      <c r="L23" s="14"/>
      <c r="M23" s="14"/>
      <c r="N23" s="14"/>
      <c r="O23" s="14"/>
      <c r="P23" s="14"/>
      <c r="Q23" s="14"/>
      <c r="R23" s="14"/>
      <c r="S23" s="14"/>
      <c r="T23" s="14"/>
      <c r="U23" s="34" t="s">
        <v>155</v>
      </c>
      <c r="V23" s="35" t="s">
        <v>156</v>
      </c>
      <c r="W23" s="25"/>
      <c r="BX23" t="str" cm="1">
        <f t="array" ref="BX23:BX33">_xlfn.LET( _xlpm.p,_xlfn.SWITCH($U$24, "X","X -", "TikTok","TT -", "Instagram","IG -", "Threads","THREADS -", "Facebook","FB -", "LinkedIn","LINKEDIN -", ""), _xlfn._xlws.FILTER( 'Data Entry'!$C$5:$C$100, LEFT('Data Entry'!$C$5:$C$100,LEN(_xlpm.p))=_xlpm.p, "" ))</f>
        <v>X - Followers</v>
      </c>
      <c r="BZ23" t="str">
        <f>U24&amp;" - "&amp;TRIM(_xlfn.TEXTAFTER(V24,"-"))</f>
        <v>X - Profile visits</v>
      </c>
      <c r="CB23" t="str" cm="1">
        <f t="array" ref="CB23:CB33">_xlfn.LET( _xlpm.p,_xlfn.SWITCH($U$34, "X","X -", "TikTok","TT -", "Instagram","IG -", "Threads","THREADS -", "Facebook","FB -", "LinkedIn","LINKEDIN -", ""), _xlfn._xlws.FILTER( 'Data Entry'!$C$5:$C$100, LEFT('Data Entry'!$C$5:$C$100,LEN(_xlpm.p))=_xlpm.p, "" ))</f>
        <v>X - Followers</v>
      </c>
      <c r="CJ23" t="str" cm="1">
        <f t="array" ref="CJ23:CJ28">_xlfn.LET( _xlpm.p,_xlfn.SWITCH($C$34, "X","X -", "TikTok","TT -", "Instagram","IG -", "Threads","THREADS -", "Facebook","FB -", "LinkedIn","LINKEDIN -", ""), _xlfn._xlws.FILTER( 'Data Entry'!$C$5:$C$100, LEFT('Data Entry'!$C$5:$C$100,LEN(_xlpm.p))=_xlpm.p, "" ))</f>
        <v>TT - Views</v>
      </c>
      <c r="CL23" s="1" t="str" cm="1">
        <f t="array" ref="CL23">IFERROR(INDEX(_xlfn.ANCHORARRAY($CJ$23),ROWS($CL$23:CL23)),"")</f>
        <v>TT - Views</v>
      </c>
      <c r="CM23" s="1" t="str">
        <f t="shared" ref="CM23:CM39" si="5">IF(CL23="","",TRIM(_xlfn.TEXTAFTER(CL23,"-")))</f>
        <v>Views</v>
      </c>
      <c r="CN23" s="31" cm="1">
        <f t="array" ref="CN23">IF(CL23="","",INDEX('Data Entry'!$D$5:$Q$34,_xlfn.XMATCH(CL23,'Data Entry'!$C$5:$C$34,0),_xlfn.XMATCH($N$5,'Data Entry'!$D$4:$Q$4,0)))</f>
        <v>486000</v>
      </c>
      <c r="CO23" cm="1">
        <f t="array" ref="CO23">IF(CL23="","",INDEX('Data Entry'!$AA$5:$AN$34,_xlfn.XMATCH(CL23,'Data Entry'!$Z$5:$Z$34,0),_xlfn.XMATCH($N$5,'Data Entry'!$AA$4:$AN$4,0)))</f>
        <v>1.0165975103734439</v>
      </c>
      <c r="CP23" s="16" t="str">
        <f t="shared" ref="CP23:CP39" si="6">IF(CO23="","",IF(CO23&gt;0,"▲ "&amp;TEXT(CO23,"0.00%"),IF(CO23&lt;0,"▼ "&amp;TEXT(ABS(CO23),"0.00%"),"▬ 0.00%")))</f>
        <v>▲ 101.66%</v>
      </c>
    </row>
    <row r="24" spans="2:95" ht="26" customHeight="1">
      <c r="B24" s="24"/>
      <c r="C24" s="61" t="s">
        <v>24</v>
      </c>
      <c r="D24" s="14"/>
      <c r="E24" s="14"/>
      <c r="F24" s="14"/>
      <c r="G24" s="14"/>
      <c r="H24" s="14"/>
      <c r="I24" s="14"/>
      <c r="J24" s="14"/>
      <c r="K24" s="14"/>
      <c r="L24" s="14"/>
      <c r="M24" s="14"/>
      <c r="N24" s="14"/>
      <c r="O24" s="14"/>
      <c r="P24" s="14"/>
      <c r="Q24" s="14"/>
      <c r="R24" s="14"/>
      <c r="S24" s="14"/>
      <c r="T24" s="14"/>
      <c r="U24" s="63" t="s">
        <v>1</v>
      </c>
      <c r="V24" s="62" t="s">
        <v>42</v>
      </c>
      <c r="W24" s="25"/>
      <c r="BX24" s="1" t="str">
        <v>X - Impressions</v>
      </c>
      <c r="CB24" s="1" t="str">
        <v>X - Impressions</v>
      </c>
      <c r="CJ24" s="1" t="str">
        <v>TT - Profile Views</v>
      </c>
      <c r="CL24" s="1" t="str" cm="1">
        <f t="array" ref="CL24">IFERROR(INDEX(_xlfn.ANCHORARRAY($CJ$23),ROWS($CL$23:CL24)),"")</f>
        <v>TT - Profile Views</v>
      </c>
      <c r="CM24" s="1" t="str">
        <f t="shared" si="5"/>
        <v>Profile Views</v>
      </c>
      <c r="CN24" s="31" cm="1">
        <f t="array" ref="CN24">IF(CL24="","",INDEX('Data Entry'!$D$5:$Q$34,_xlfn.XMATCH(CL24,'Data Entry'!$C$5:$C$34,0),_xlfn.XMATCH($N$5,'Data Entry'!$D$4:$Q$4,0)))</f>
        <v>7800</v>
      </c>
      <c r="CO24" cm="1">
        <f t="array" ref="CO24">IF(CL24="","",INDEX('Data Entry'!$AA$5:$AN$34,_xlfn.XMATCH(CL24,'Data Entry'!$Z$5:$Z$34,0),_xlfn.XMATCH($N$5,'Data Entry'!$AA$4:$AN$4,0)))</f>
        <v>0.25806451612903225</v>
      </c>
      <c r="CP24" s="16" t="str">
        <f t="shared" si="6"/>
        <v>▲ 25.81%</v>
      </c>
      <c r="CQ24" s="16"/>
    </row>
    <row r="25" spans="2:95">
      <c r="B25" s="24"/>
      <c r="C25" s="14"/>
      <c r="D25" s="14"/>
      <c r="E25" s="14"/>
      <c r="F25" s="14"/>
      <c r="G25" s="14"/>
      <c r="H25" s="14"/>
      <c r="I25" s="14"/>
      <c r="J25" s="14"/>
      <c r="K25" s="14"/>
      <c r="L25" s="14"/>
      <c r="M25" s="14"/>
      <c r="N25" s="14"/>
      <c r="O25" s="14"/>
      <c r="P25" s="14"/>
      <c r="Q25" s="14"/>
      <c r="R25" s="14"/>
      <c r="S25" s="14"/>
      <c r="T25" s="14"/>
      <c r="U25" s="14"/>
      <c r="V25" s="14"/>
      <c r="W25" s="25"/>
      <c r="BX25" s="1" t="str">
        <v>X - Engagement rate</v>
      </c>
      <c r="CB25" s="1" t="str">
        <v>X - Engagement rate</v>
      </c>
      <c r="CJ25" s="1" t="str">
        <v>TT - Likes</v>
      </c>
      <c r="CL25" s="1" t="str" cm="1">
        <f t="array" ref="CL25">IFERROR(INDEX(_xlfn.ANCHORARRAY($CJ$23),ROWS($CL$23:CL25)),"")</f>
        <v>TT - Likes</v>
      </c>
      <c r="CM25" s="1" t="str">
        <f t="shared" si="5"/>
        <v>Likes</v>
      </c>
      <c r="CN25" s="31" cm="1">
        <f t="array" ref="CN25">IF(CL25="","",INDEX('Data Entry'!$D$5:$Q$34,_xlfn.XMATCH(CL25,'Data Entry'!$C$5:$C$34,0),_xlfn.XMATCH($N$5,'Data Entry'!$D$4:$Q$4,0)))</f>
        <v>35000</v>
      </c>
      <c r="CO25" cm="1">
        <f t="array" ref="CO25">IF(CL25="","",INDEX('Data Entry'!$AA$5:$AN$34,_xlfn.XMATCH(CL25,'Data Entry'!$Z$5:$Z$34,0),_xlfn.XMATCH($N$5,'Data Entry'!$AA$4:$AN$4,0)))</f>
        <v>0.75</v>
      </c>
      <c r="CP25" s="16" t="str">
        <f t="shared" si="6"/>
        <v>▲ 75.00%</v>
      </c>
      <c r="CQ25" s="16"/>
    </row>
    <row r="26" spans="2:95">
      <c r="B26" s="24"/>
      <c r="C26" s="14"/>
      <c r="D26" s="14"/>
      <c r="E26" s="14"/>
      <c r="F26" s="14"/>
      <c r="G26" s="14"/>
      <c r="H26" s="14"/>
      <c r="I26" s="14"/>
      <c r="J26" s="14"/>
      <c r="K26" s="14"/>
      <c r="L26" s="14"/>
      <c r="M26" s="14"/>
      <c r="N26" s="14"/>
      <c r="O26" s="14"/>
      <c r="P26" s="14"/>
      <c r="Q26" s="14"/>
      <c r="R26" s="14"/>
      <c r="S26" s="14"/>
      <c r="T26" s="14"/>
      <c r="U26" s="14"/>
      <c r="V26" s="14"/>
      <c r="W26" s="25"/>
      <c r="BX26" s="1" t="str">
        <v>X - Engagements</v>
      </c>
      <c r="CB26" s="1" t="str">
        <v>X - Engagements</v>
      </c>
      <c r="CJ26" s="1" t="str">
        <v>TT - Comments</v>
      </c>
      <c r="CL26" s="1" t="str" cm="1">
        <f t="array" ref="CL26">IFERROR(INDEX(_xlfn.ANCHORARRAY($CJ$23),ROWS($CL$23:CL26)),"")</f>
        <v>TT - Comments</v>
      </c>
      <c r="CM26" s="1" t="str">
        <f t="shared" si="5"/>
        <v>Comments</v>
      </c>
      <c r="CN26" s="31" cm="1">
        <f t="array" ref="CN26">IF(CL26="","",INDEX('Data Entry'!$D$5:$Q$34,_xlfn.XMATCH(CL26,'Data Entry'!$C$5:$C$34,0),_xlfn.XMATCH($N$5,'Data Entry'!$D$4:$Q$4,0)))</f>
        <v>378</v>
      </c>
      <c r="CO26" cm="1">
        <f t="array" ref="CO26">IF(CL26="","",INDEX('Data Entry'!$AA$5:$AN$34,_xlfn.XMATCH(CL26,'Data Entry'!$Z$5:$Z$34,0),_xlfn.XMATCH($N$5,'Data Entry'!$AA$4:$AN$4,0)))</f>
        <v>0.13513513513513514</v>
      </c>
      <c r="CP26" s="16" t="str">
        <f t="shared" si="6"/>
        <v>▲ 13.51%</v>
      </c>
      <c r="CQ26" s="16"/>
    </row>
    <row r="27" spans="2:95">
      <c r="B27" s="24"/>
      <c r="C27" s="14"/>
      <c r="D27" s="14"/>
      <c r="E27" s="14"/>
      <c r="F27" s="14"/>
      <c r="G27" s="14"/>
      <c r="H27" s="14"/>
      <c r="I27" s="14"/>
      <c r="J27" s="14"/>
      <c r="K27" s="14"/>
      <c r="L27" s="14"/>
      <c r="M27" s="14"/>
      <c r="N27" s="14"/>
      <c r="O27" s="14"/>
      <c r="P27" s="14"/>
      <c r="Q27" s="14"/>
      <c r="R27" s="14"/>
      <c r="S27" s="14"/>
      <c r="T27" s="14"/>
      <c r="U27" s="14"/>
      <c r="V27" s="14"/>
      <c r="W27" s="25"/>
      <c r="BX27" s="1" t="str">
        <v>X - Profile visits</v>
      </c>
      <c r="CB27" s="1" t="str">
        <v>X - Profile visits</v>
      </c>
      <c r="CJ27" s="1" t="str">
        <v>TT - Shares</v>
      </c>
      <c r="CL27" s="1" t="str" cm="1">
        <f t="array" ref="CL27">IFERROR(INDEX(_xlfn.ANCHORARRAY($CJ$23),ROWS($CL$23:CL27)),"")</f>
        <v>TT - Shares</v>
      </c>
      <c r="CM27" s="1" t="str">
        <f t="shared" si="5"/>
        <v>Shares</v>
      </c>
      <c r="CN27" s="31" cm="1">
        <f t="array" ref="CN27">IF(CL27="","",INDEX('Data Entry'!$D$5:$Q$34,_xlfn.XMATCH(CL27,'Data Entry'!$C$5:$C$34,0),_xlfn.XMATCH($N$5,'Data Entry'!$D$4:$Q$4,0)))</f>
        <v>882</v>
      </c>
      <c r="CO27" cm="1">
        <f t="array" ref="CO27">IF(CL27="","",INDEX('Data Entry'!$AA$5:$AN$34,_xlfn.XMATCH(CL27,'Data Entry'!$Z$5:$Z$34,0),_xlfn.XMATCH($N$5,'Data Entry'!$AA$4:$AN$4,0)))</f>
        <v>0.24576271186440679</v>
      </c>
      <c r="CP27" s="16" t="str">
        <f t="shared" si="6"/>
        <v>▲ 24.58%</v>
      </c>
      <c r="CQ27" s="16"/>
    </row>
    <row r="28" spans="2:95">
      <c r="B28" s="24"/>
      <c r="C28" s="14"/>
      <c r="D28" s="14"/>
      <c r="E28" s="14"/>
      <c r="F28" s="14"/>
      <c r="G28" s="14"/>
      <c r="H28" s="14"/>
      <c r="I28" s="14"/>
      <c r="J28" s="14"/>
      <c r="K28" s="14"/>
      <c r="L28" s="14"/>
      <c r="M28" s="14"/>
      <c r="N28" s="14"/>
      <c r="O28" s="14"/>
      <c r="P28" s="14"/>
      <c r="Q28" s="14"/>
      <c r="R28" s="14"/>
      <c r="S28" s="14"/>
      <c r="T28" s="14"/>
      <c r="U28" s="14"/>
      <c r="V28" s="14"/>
      <c r="W28" s="25"/>
      <c r="BX28" s="1" t="str">
        <v>X - Replies</v>
      </c>
      <c r="CB28" s="1" t="str">
        <v>X - Replies</v>
      </c>
      <c r="CJ28" s="1" t="str">
        <v>TT - New Viewers</v>
      </c>
      <c r="CL28" s="1" t="str" cm="1">
        <f t="array" ref="CL28">IFERROR(INDEX(_xlfn.ANCHORARRAY($CJ$23),ROWS($CL$23:CL28)),"")</f>
        <v>TT - New Viewers</v>
      </c>
      <c r="CM28" s="1" t="str">
        <f t="shared" si="5"/>
        <v>New Viewers</v>
      </c>
      <c r="CN28" s="31" cm="1">
        <f t="array" ref="CN28">IF(CL28="","",INDEX('Data Entry'!$D$5:$Q$34,_xlfn.XMATCH(CL28,'Data Entry'!$C$5:$C$34,0),_xlfn.XMATCH($N$5,'Data Entry'!$D$4:$Q$4,0)))</f>
        <v>184000</v>
      </c>
      <c r="CO28" cm="1">
        <f t="array" ref="CO28">IF(CL28="","",INDEX('Data Entry'!$AA$5:$AN$34,_xlfn.XMATCH(CL28,'Data Entry'!$Z$5:$Z$34,0),_xlfn.XMATCH($N$5,'Data Entry'!$AA$4:$AN$4,0)))</f>
        <v>3.3809523809523809</v>
      </c>
      <c r="CP28" s="16" t="str">
        <f t="shared" si="6"/>
        <v>▲ 338.10%</v>
      </c>
    </row>
    <row r="29" spans="2:95">
      <c r="B29" s="24"/>
      <c r="C29" s="14"/>
      <c r="D29" s="14"/>
      <c r="E29" s="14"/>
      <c r="F29" s="14"/>
      <c r="G29" s="14"/>
      <c r="H29" s="14"/>
      <c r="I29" s="14"/>
      <c r="J29" s="14"/>
      <c r="K29" s="14"/>
      <c r="L29" s="14"/>
      <c r="M29" s="14"/>
      <c r="N29" s="14"/>
      <c r="O29" s="14"/>
      <c r="P29" s="14"/>
      <c r="Q29" s="14"/>
      <c r="R29" s="14"/>
      <c r="S29" s="14"/>
      <c r="T29" s="14"/>
      <c r="U29" s="14"/>
      <c r="V29" s="14"/>
      <c r="W29" s="25"/>
      <c r="BX29" s="1" t="str">
        <v>X - Likes</v>
      </c>
      <c r="CB29" s="1" t="str">
        <v>X - Likes</v>
      </c>
      <c r="CL29" s="1" t="str" cm="1">
        <f t="array" ref="CL29">IFERROR(INDEX(_xlfn.ANCHORARRAY($CJ$23),ROWS($CL$23:CL29)),"")</f>
        <v/>
      </c>
      <c r="CM29" s="1" t="str">
        <f t="shared" si="5"/>
        <v/>
      </c>
      <c r="CN29" s="31" t="str" cm="1">
        <f t="array" ref="CN29">IF(CL29="","",INDEX('Data Entry'!$D$5:$Q$34,_xlfn.XMATCH(CL29,'Data Entry'!$C$5:$C$34,0),_xlfn.XMATCH($N$5,'Data Entry'!$D$4:$Q$4,0)))</f>
        <v/>
      </c>
      <c r="CO29" t="str" cm="1">
        <f t="array" ref="CO29">IF(CL29="","",INDEX('Data Entry'!$AA$5:$AN$34,_xlfn.XMATCH(CL29,'Data Entry'!$Z$5:$Z$34,0),_xlfn.XMATCH($N$5,'Data Entry'!$AA$4:$AN$4,0)))</f>
        <v/>
      </c>
      <c r="CP29" s="16" t="str">
        <f t="shared" si="6"/>
        <v/>
      </c>
    </row>
    <row r="30" spans="2:95">
      <c r="B30" s="24"/>
      <c r="C30" s="14"/>
      <c r="D30" s="14"/>
      <c r="E30" s="14"/>
      <c r="F30" s="14"/>
      <c r="G30" s="14"/>
      <c r="H30" s="14"/>
      <c r="I30" s="14"/>
      <c r="J30" s="14"/>
      <c r="K30" s="14"/>
      <c r="L30" s="14"/>
      <c r="M30" s="14"/>
      <c r="N30" s="14"/>
      <c r="O30" s="14"/>
      <c r="P30" s="14"/>
      <c r="Q30" s="14"/>
      <c r="R30" s="14"/>
      <c r="S30" s="14"/>
      <c r="T30" s="14"/>
      <c r="U30" s="14"/>
      <c r="V30" s="14"/>
      <c r="W30" s="25"/>
      <c r="BX30" s="1" t="str">
        <v>X - Reposts</v>
      </c>
      <c r="CB30" s="1" t="str">
        <v>X - Reposts</v>
      </c>
      <c r="CL30" s="1" t="str" cm="1">
        <f t="array" ref="CL30">IFERROR(INDEX(_xlfn.ANCHORARRAY($CJ$23),ROWS($CL$23:CL30)),"")</f>
        <v/>
      </c>
      <c r="CM30" s="1" t="str">
        <f t="shared" si="5"/>
        <v/>
      </c>
      <c r="CN30" s="31" t="str" cm="1">
        <f t="array" ref="CN30">IF(CL30="","",INDEX('Data Entry'!$D$5:$Q$34,_xlfn.XMATCH(CL30,'Data Entry'!$C$5:$C$34,0),_xlfn.XMATCH($N$5,'Data Entry'!$D$4:$Q$4,0)))</f>
        <v/>
      </c>
      <c r="CO30" t="str" cm="1">
        <f t="array" ref="CO30">IF(CL30="","",INDEX('Data Entry'!$AA$5:$AN$34,_xlfn.XMATCH(CL30,'Data Entry'!$Z$5:$Z$34,0),_xlfn.XMATCH($N$5,'Data Entry'!$AA$4:$AN$4,0)))</f>
        <v/>
      </c>
      <c r="CP30" s="16" t="str">
        <f t="shared" si="6"/>
        <v/>
      </c>
    </row>
    <row r="31" spans="2:95">
      <c r="B31" s="24"/>
      <c r="C31" s="14"/>
      <c r="D31" s="14"/>
      <c r="E31" s="14"/>
      <c r="F31" s="14"/>
      <c r="G31" s="14"/>
      <c r="H31" s="14"/>
      <c r="I31" s="14"/>
      <c r="J31" s="14"/>
      <c r="K31" s="14"/>
      <c r="L31" s="14"/>
      <c r="M31" s="14"/>
      <c r="N31" s="14"/>
      <c r="O31" s="14"/>
      <c r="P31" s="14"/>
      <c r="Q31" s="14"/>
      <c r="R31" s="14"/>
      <c r="S31" s="14"/>
      <c r="T31" s="14"/>
      <c r="U31" s="14"/>
      <c r="V31" s="14"/>
      <c r="W31" s="25"/>
      <c r="BX31" s="1" t="str">
        <v>X - Bookmarks</v>
      </c>
      <c r="CB31" s="1" t="str">
        <v>X - Bookmarks</v>
      </c>
      <c r="CL31" s="1" t="str" cm="1">
        <f t="array" ref="CL31">IFERROR(INDEX(_xlfn.ANCHORARRAY($CJ$23),ROWS($CL$23:CL31)),"")</f>
        <v/>
      </c>
      <c r="CM31" s="1" t="str">
        <f t="shared" si="5"/>
        <v/>
      </c>
      <c r="CN31" s="31" t="str" cm="1">
        <f t="array" ref="CN31">IF(CL31="","",INDEX('Data Entry'!$D$5:$Q$34,_xlfn.XMATCH(CL31,'Data Entry'!$C$5:$C$34,0),_xlfn.XMATCH($N$5,'Data Entry'!$D$4:$Q$4,0)))</f>
        <v/>
      </c>
      <c r="CO31" t="str" cm="1">
        <f t="array" ref="CO31">IF(CL31="","",INDEX('Data Entry'!$AA$5:$AN$34,_xlfn.XMATCH(CL31,'Data Entry'!$Z$5:$Z$34,0),_xlfn.XMATCH($N$5,'Data Entry'!$AA$4:$AN$4,0)))</f>
        <v/>
      </c>
      <c r="CP31" s="16" t="str">
        <f t="shared" si="6"/>
        <v/>
      </c>
    </row>
    <row r="32" spans="2:95">
      <c r="B32" s="24"/>
      <c r="C32" s="14"/>
      <c r="D32" s="14"/>
      <c r="E32" s="14"/>
      <c r="F32" s="14"/>
      <c r="G32" s="14"/>
      <c r="H32" s="14"/>
      <c r="I32" s="14"/>
      <c r="J32" s="14"/>
      <c r="K32" s="14"/>
      <c r="L32" s="14"/>
      <c r="M32" s="14"/>
      <c r="N32" s="14"/>
      <c r="O32" s="14"/>
      <c r="P32" s="14"/>
      <c r="Q32" s="14"/>
      <c r="R32" s="14"/>
      <c r="S32" s="14"/>
      <c r="T32" s="14"/>
      <c r="U32" s="14"/>
      <c r="V32" s="14"/>
      <c r="W32" s="25"/>
      <c r="BX32" s="1" t="str">
        <v>X - Shares</v>
      </c>
      <c r="CB32" s="1" t="str">
        <v>X - Shares</v>
      </c>
      <c r="CL32" s="1" t="str" cm="1">
        <f t="array" ref="CL32">IFERROR(INDEX(_xlfn.ANCHORARRAY($CJ$23),ROWS($CL$23:CL32)),"")</f>
        <v/>
      </c>
      <c r="CM32" s="1" t="str">
        <f t="shared" si="5"/>
        <v/>
      </c>
      <c r="CN32" s="31" t="str" cm="1">
        <f t="array" ref="CN32">IF(CL32="","",INDEX('Data Entry'!$D$5:$Q$34,_xlfn.XMATCH(CL32,'Data Entry'!$C$5:$C$34,0),_xlfn.XMATCH($N$5,'Data Entry'!$D$4:$Q$4,0)))</f>
        <v/>
      </c>
      <c r="CO32" t="str" cm="1">
        <f t="array" ref="CO32">IF(CL32="","",INDEX('Data Entry'!$AA$5:$AN$34,_xlfn.XMATCH(CL32,'Data Entry'!$Z$5:$Z$34,0),_xlfn.XMATCH($N$5,'Data Entry'!$AA$4:$AN$4,0)))</f>
        <v/>
      </c>
      <c r="CP32" s="16" t="str">
        <f t="shared" si="6"/>
        <v/>
      </c>
    </row>
    <row r="33" spans="2:94" ht="17.5">
      <c r="B33" s="24"/>
      <c r="C33" s="36" t="s">
        <v>155</v>
      </c>
      <c r="D33" s="14"/>
      <c r="E33" s="14"/>
      <c r="F33" s="14"/>
      <c r="G33" s="14"/>
      <c r="H33" s="14"/>
      <c r="I33" s="14"/>
      <c r="J33" s="14"/>
      <c r="K33" s="14"/>
      <c r="L33" s="14"/>
      <c r="M33" s="14"/>
      <c r="N33" s="14"/>
      <c r="O33" s="14"/>
      <c r="P33" s="14"/>
      <c r="Q33" s="14"/>
      <c r="R33" s="14"/>
      <c r="S33" s="14"/>
      <c r="T33" s="14"/>
      <c r="U33" s="34" t="s">
        <v>155</v>
      </c>
      <c r="V33" s="35" t="s">
        <v>156</v>
      </c>
      <c r="W33" s="25"/>
      <c r="BX33" s="1" t="str">
        <v>X - Video Views</v>
      </c>
      <c r="CB33" s="1" t="str">
        <v>X - Video Views</v>
      </c>
      <c r="CL33" s="1" t="str" cm="1">
        <f t="array" ref="CL33">IFERROR(INDEX(_xlfn.ANCHORARRAY($CJ$23),ROWS($CL$23:CL33)),"")</f>
        <v/>
      </c>
      <c r="CM33" s="1" t="str">
        <f t="shared" si="5"/>
        <v/>
      </c>
      <c r="CN33" s="31" t="str" cm="1">
        <f t="array" ref="CN33">IF(CL33="","",INDEX('Data Entry'!$D$5:$Q$34,_xlfn.XMATCH(CL33,'Data Entry'!$C$5:$C$34,0),_xlfn.XMATCH($N$5,'Data Entry'!$D$4:$Q$4,0)))</f>
        <v/>
      </c>
      <c r="CO33" t="str" cm="1">
        <f t="array" ref="CO33">IF(CL33="","",INDEX('Data Entry'!$AA$5:$AN$34,_xlfn.XMATCH(CL33,'Data Entry'!$Z$5:$Z$34,0),_xlfn.XMATCH($N$5,'Data Entry'!$AA$4:$AN$4,0)))</f>
        <v/>
      </c>
      <c r="CP33" s="16" t="str">
        <f t="shared" si="6"/>
        <v/>
      </c>
    </row>
    <row r="34" spans="2:94" ht="26" customHeight="1">
      <c r="B34" s="24"/>
      <c r="C34" s="67" t="s">
        <v>19</v>
      </c>
      <c r="D34" s="14"/>
      <c r="E34" s="14"/>
      <c r="F34" s="14"/>
      <c r="G34" s="14"/>
      <c r="H34" s="14"/>
      <c r="I34" s="14"/>
      <c r="J34" s="14"/>
      <c r="K34" s="14"/>
      <c r="L34" s="14"/>
      <c r="M34" s="14"/>
      <c r="N34" s="14"/>
      <c r="O34" s="14"/>
      <c r="P34" s="14"/>
      <c r="Q34" s="14"/>
      <c r="R34" s="14"/>
      <c r="S34" s="14"/>
      <c r="T34" s="14"/>
      <c r="U34" s="63" t="s">
        <v>1</v>
      </c>
      <c r="V34" s="62" t="s">
        <v>48</v>
      </c>
      <c r="W34" s="25"/>
      <c r="CL34" s="1" t="str" cm="1">
        <f t="array" ref="CL34">IFERROR(INDEX(_xlfn.ANCHORARRAY($CJ$23),ROWS($CL$23:CL34)),"")</f>
        <v/>
      </c>
      <c r="CM34" s="1" t="str">
        <f t="shared" si="5"/>
        <v/>
      </c>
      <c r="CN34" s="31" t="str" cm="1">
        <f t="array" ref="CN34">IF(CL34="","",INDEX('Data Entry'!$D$5:$Q$34,_xlfn.XMATCH(CL34,'Data Entry'!$C$5:$C$34,0),_xlfn.XMATCH($N$5,'Data Entry'!$D$4:$Q$4,0)))</f>
        <v/>
      </c>
      <c r="CO34" t="str" cm="1">
        <f t="array" ref="CO34">IF(CL34="","",INDEX('Data Entry'!$AA$5:$AN$34,_xlfn.XMATCH(CL34,'Data Entry'!$Z$5:$Z$34,0),_xlfn.XMATCH($N$5,'Data Entry'!$AA$4:$AN$4,0)))</f>
        <v/>
      </c>
      <c r="CP34" s="16" t="str">
        <f t="shared" si="6"/>
        <v/>
      </c>
    </row>
    <row r="35" spans="2:94">
      <c r="B35" s="24"/>
      <c r="C35" s="14"/>
      <c r="D35" s="14"/>
      <c r="E35" s="14"/>
      <c r="F35" s="14"/>
      <c r="G35" s="14"/>
      <c r="H35" s="14"/>
      <c r="I35" s="14"/>
      <c r="J35" s="14"/>
      <c r="K35" s="14"/>
      <c r="L35" s="14"/>
      <c r="M35" s="14"/>
      <c r="N35" s="14"/>
      <c r="O35" s="14"/>
      <c r="P35" s="14"/>
      <c r="Q35" s="14"/>
      <c r="R35" s="14"/>
      <c r="S35" s="14"/>
      <c r="T35" s="14"/>
      <c r="U35" s="14"/>
      <c r="V35" s="14"/>
      <c r="W35" s="25"/>
      <c r="CL35" s="1" t="str" cm="1">
        <f t="array" ref="CL35">IFERROR(INDEX(_xlfn.ANCHORARRAY($CJ$23),ROWS($CL$23:CL35)),"")</f>
        <v/>
      </c>
      <c r="CM35" s="1" t="str">
        <f t="shared" si="5"/>
        <v/>
      </c>
      <c r="CN35" s="31" t="str" cm="1">
        <f t="array" ref="CN35">IF(CL35="","",INDEX('Data Entry'!$D$5:$Q$34,_xlfn.XMATCH(CL35,'Data Entry'!$C$5:$C$34,0),_xlfn.XMATCH($N$5,'Data Entry'!$D$4:$Q$4,0)))</f>
        <v/>
      </c>
      <c r="CO35" t="str" cm="1">
        <f t="array" ref="CO35">IF(CL35="","",INDEX('Data Entry'!$AA$5:$AN$34,_xlfn.XMATCH(CL35,'Data Entry'!$Z$5:$Z$34,0),_xlfn.XMATCH($N$5,'Data Entry'!$AA$4:$AN$4,0)))</f>
        <v/>
      </c>
      <c r="CP35" s="16" t="str">
        <f t="shared" si="6"/>
        <v/>
      </c>
    </row>
    <row r="36" spans="2:94">
      <c r="B36" s="24"/>
      <c r="C36" s="14"/>
      <c r="D36" s="14"/>
      <c r="E36" s="14"/>
      <c r="F36" s="14"/>
      <c r="G36" s="14"/>
      <c r="H36" s="14"/>
      <c r="I36" s="14"/>
      <c r="J36" s="14"/>
      <c r="K36" s="14"/>
      <c r="L36" s="14"/>
      <c r="M36" s="14"/>
      <c r="N36" s="14"/>
      <c r="O36" s="14"/>
      <c r="P36" s="14"/>
      <c r="Q36" s="14"/>
      <c r="R36" s="14"/>
      <c r="S36" s="14"/>
      <c r="T36" s="14"/>
      <c r="U36" s="14"/>
      <c r="V36" s="14"/>
      <c r="W36" s="25"/>
      <c r="CL36" s="1" t="str" cm="1">
        <f t="array" ref="CL36">IFERROR(INDEX(_xlfn.ANCHORARRAY($CJ$23),ROWS($CL$23:CL36)),"")</f>
        <v/>
      </c>
      <c r="CM36" s="1" t="str">
        <f t="shared" si="5"/>
        <v/>
      </c>
      <c r="CN36" s="31" t="str" cm="1">
        <f t="array" ref="CN36">IF(CL36="","",INDEX('Data Entry'!$D$5:$Q$34,_xlfn.XMATCH(CL36,'Data Entry'!$C$5:$C$34,0),_xlfn.XMATCH($N$5,'Data Entry'!$D$4:$Q$4,0)))</f>
        <v/>
      </c>
      <c r="CO36" t="str" cm="1">
        <f t="array" ref="CO36">IF(CL36="","",INDEX('Data Entry'!$AA$5:$AN$34,_xlfn.XMATCH(CL36,'Data Entry'!$Z$5:$Z$34,0),_xlfn.XMATCH($N$5,'Data Entry'!$AA$4:$AN$4,0)))</f>
        <v/>
      </c>
      <c r="CP36" s="16" t="str">
        <f t="shared" si="6"/>
        <v/>
      </c>
    </row>
    <row r="37" spans="2:94">
      <c r="B37" s="24"/>
      <c r="C37" s="14"/>
      <c r="D37" s="14"/>
      <c r="E37" s="14"/>
      <c r="F37" s="14"/>
      <c r="G37" s="14"/>
      <c r="H37" s="14"/>
      <c r="I37" s="14"/>
      <c r="J37" s="14"/>
      <c r="K37" s="14"/>
      <c r="L37" s="14"/>
      <c r="M37" s="14"/>
      <c r="N37" s="14"/>
      <c r="O37" s="14"/>
      <c r="P37" s="14"/>
      <c r="Q37" s="14"/>
      <c r="R37" s="14"/>
      <c r="S37" s="14"/>
      <c r="T37" s="14"/>
      <c r="U37" s="14"/>
      <c r="V37" s="14"/>
      <c r="W37" s="25"/>
      <c r="CL37" s="1" t="str" cm="1">
        <f t="array" ref="CL37">IFERROR(INDEX(_xlfn.ANCHORARRAY($CJ$23),ROWS($CL$23:CL37)),"")</f>
        <v/>
      </c>
      <c r="CM37" s="1" t="str">
        <f t="shared" si="5"/>
        <v/>
      </c>
      <c r="CN37" s="31" t="str" cm="1">
        <f t="array" ref="CN37">IF(CL37="","",INDEX('Data Entry'!$D$5:$Q$34,_xlfn.XMATCH(CL37,'Data Entry'!$C$5:$C$34,0),_xlfn.XMATCH($N$5,'Data Entry'!$D$4:$Q$4,0)))</f>
        <v/>
      </c>
      <c r="CO37" t="str" cm="1">
        <f t="array" ref="CO37">IF(CL37="","",INDEX('Data Entry'!$AA$5:$AN$34,_xlfn.XMATCH(CL37,'Data Entry'!$Z$5:$Z$34,0),_xlfn.XMATCH($N$5,'Data Entry'!$AA$4:$AN$4,0)))</f>
        <v/>
      </c>
      <c r="CP37" s="16" t="str">
        <f t="shared" si="6"/>
        <v/>
      </c>
    </row>
    <row r="38" spans="2:94">
      <c r="B38" s="24"/>
      <c r="C38" s="14"/>
      <c r="D38" s="14"/>
      <c r="E38" s="14"/>
      <c r="F38" s="14"/>
      <c r="G38" s="14"/>
      <c r="H38" s="14"/>
      <c r="I38" s="14"/>
      <c r="J38" s="14"/>
      <c r="K38" s="14"/>
      <c r="L38" s="14"/>
      <c r="M38" s="14"/>
      <c r="N38" s="14"/>
      <c r="O38" s="14"/>
      <c r="P38" s="14"/>
      <c r="Q38" s="14"/>
      <c r="R38" s="14"/>
      <c r="S38" s="14"/>
      <c r="T38" s="14"/>
      <c r="U38" s="14"/>
      <c r="V38" s="14"/>
      <c r="W38" s="25"/>
      <c r="CL38" s="1" t="str" cm="1">
        <f t="array" ref="CL38">IFERROR(INDEX(_xlfn.ANCHORARRAY($CJ$23),ROWS($CL$23:CL38)),"")</f>
        <v/>
      </c>
      <c r="CM38" s="1" t="str">
        <f t="shared" si="5"/>
        <v/>
      </c>
      <c r="CN38" s="31" t="str" cm="1">
        <f t="array" ref="CN38">IF(CL38="","",INDEX('Data Entry'!$D$5:$Q$34,_xlfn.XMATCH(CL38,'Data Entry'!$C$5:$C$34,0),_xlfn.XMATCH($N$5,'Data Entry'!$D$4:$Q$4,0)))</f>
        <v/>
      </c>
      <c r="CO38" t="str" cm="1">
        <f t="array" ref="CO38">IF(CL38="","",INDEX('Data Entry'!$AA$5:$AN$34,_xlfn.XMATCH(CL38,'Data Entry'!$Z$5:$Z$34,0),_xlfn.XMATCH($N$5,'Data Entry'!$AA$4:$AN$4,0)))</f>
        <v/>
      </c>
      <c r="CP38" s="16" t="str">
        <f t="shared" si="6"/>
        <v/>
      </c>
    </row>
    <row r="39" spans="2:94">
      <c r="B39" s="24"/>
      <c r="C39" s="14"/>
      <c r="D39" s="14"/>
      <c r="E39" s="14"/>
      <c r="F39" s="14"/>
      <c r="G39" s="14"/>
      <c r="H39" s="14"/>
      <c r="I39" s="14"/>
      <c r="J39" s="14"/>
      <c r="K39" s="14"/>
      <c r="L39" s="14"/>
      <c r="M39" s="14"/>
      <c r="N39" s="14"/>
      <c r="O39" s="14"/>
      <c r="P39" s="14"/>
      <c r="Q39" s="14"/>
      <c r="R39" s="14"/>
      <c r="S39" s="14"/>
      <c r="T39" s="14"/>
      <c r="U39" s="14"/>
      <c r="V39" s="14"/>
      <c r="W39" s="25"/>
      <c r="CL39" s="1" t="str" cm="1">
        <f t="array" ref="CL39">IFERROR(INDEX(_xlfn.ANCHORARRAY($CJ$23),ROWS($CL$23:CL39)),"")</f>
        <v/>
      </c>
      <c r="CM39" s="1" t="str">
        <f t="shared" si="5"/>
        <v/>
      </c>
      <c r="CN39" s="16" t="str" cm="1">
        <f t="array" ref="CN39">IF(CL39="","",INDEX('Data Entry'!$D$5:$Q$34,_xlfn.XMATCH(CL39,'Data Entry'!$C$5:$C$34,0),_xlfn.XMATCH($N$5,'Data Entry'!$D$4:$Q$4,0)))</f>
        <v/>
      </c>
      <c r="CO39" t="str" cm="1">
        <f t="array" ref="CO39">IF(CL39="","",INDEX('Data Entry'!$AA$5:$AN$34,_xlfn.XMATCH(CL39,'Data Entry'!$Z$5:$Z$34,0),_xlfn.XMATCH($N$5,'Data Entry'!$AA$4:$AN$4,0)))</f>
        <v/>
      </c>
      <c r="CP39" s="16" t="str">
        <f t="shared" si="6"/>
        <v/>
      </c>
    </row>
    <row r="40" spans="2:94" ht="17" thickBot="1">
      <c r="B40" s="26"/>
      <c r="C40" s="27"/>
      <c r="D40" s="27"/>
      <c r="E40" s="27"/>
      <c r="F40" s="27"/>
      <c r="G40" s="27"/>
      <c r="H40" s="27"/>
      <c r="I40" s="27"/>
      <c r="J40" s="27"/>
      <c r="K40" s="27"/>
      <c r="L40" s="27"/>
      <c r="M40" s="27"/>
      <c r="N40" s="27"/>
      <c r="O40" s="27"/>
      <c r="P40" s="27"/>
      <c r="Q40" s="27"/>
      <c r="R40" s="27"/>
      <c r="S40" s="27"/>
      <c r="T40" s="27"/>
      <c r="U40" s="27"/>
      <c r="V40" s="27"/>
      <c r="W40" s="28"/>
    </row>
  </sheetData>
  <sheetProtection algorithmName="SHA-512" hashValue="qazb36JhOzKB5JiwCfmKP4/UXqLt4jB5SQBKgTL2dru0geJZ3KA1CheJBtgwEH1N/TFQFDhYPggGkyxH5Rr/Fw==" saltValue="a5J1g+2tvayAA9UAy5brqg==" spinCount="100000" sheet="1" objects="1" scenarios="1" selectLockedCells="1"/>
  <mergeCells count="1">
    <mergeCell ref="AU2:AX2"/>
  </mergeCells>
  <conditionalFormatting sqref="X38:AX38">
    <cfRule type="containsText" dxfId="0" priority="2" operator="containsText" text="▲">
      <formula>NOT(ISERROR(SEARCH("▲",X38)))</formula>
    </cfRule>
  </conditionalFormatting>
  <conditionalFormatting sqref="BF4">
    <cfRule type="colorScale" priority="3">
      <colorScale>
        <cfvo type="percent" val="&quot;&gt;0&quot;"/>
        <cfvo type="formula" val="&quot;&lt;0&quot;"/>
        <color rgb="FF00B050"/>
        <color rgb="FFFF0000"/>
      </colorScale>
    </cfRule>
  </conditionalFormatting>
  <dataValidations count="3">
    <dataValidation type="list" allowBlank="1" showInputMessage="1" showErrorMessage="1" sqref="C24 M5 U24 C34 U34" xr:uid="{1FAD8464-82BF-4F1B-8482-C26225DF22F1}">
      <formula1>"Instagram,Facebook,X,TikTok,Threads,LinkedIn"</formula1>
    </dataValidation>
    <dataValidation type="list" allowBlank="1" showInputMessage="1" showErrorMessage="1" sqref="V24" xr:uid="{751047C2-0563-49FF-82D9-1771BC3331C1}">
      <formula1>_xlfn.ANCHORARRAY(BX23)</formula1>
    </dataValidation>
    <dataValidation type="list" allowBlank="1" showInputMessage="1" showErrorMessage="1" sqref="V34" xr:uid="{D7E27096-E298-4E4E-91E3-CD98EF957CCE}">
      <formula1>_xlfn.ANCHORARRAY(CB23)</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12CA7B4-7881-49B7-9838-6DA0CA7E0219}">
          <x14:formula1>
            <xm:f>'Data Entry'!$D$4:$Q$4</xm:f>
          </x14:formula1>
          <xm:sqref>N5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6518-C972-4D16-8411-61B16075860A}">
  <sheetPr codeName="Sheet4">
    <tabColor theme="4"/>
  </sheetPr>
  <dimension ref="A1:AN34"/>
  <sheetViews>
    <sheetView showGridLines="0" zoomScale="63" zoomScaleNormal="40" workbookViewId="0">
      <selection activeCell="K25" sqref="K25"/>
    </sheetView>
  </sheetViews>
  <sheetFormatPr defaultColWidth="8.81640625" defaultRowHeight="16.5"/>
  <cols>
    <col min="1" max="1" width="10.6328125" style="1" bestFit="1" customWidth="1"/>
    <col min="2" max="2" width="8.81640625" style="1"/>
    <col min="3" max="3" width="22.6328125" style="1" bestFit="1" customWidth="1"/>
    <col min="4" max="4" width="11.36328125" style="1" bestFit="1" customWidth="1"/>
    <col min="5" max="5" width="10.7265625" style="1" bestFit="1" customWidth="1"/>
    <col min="6" max="6" width="10.1796875" style="1" bestFit="1" customWidth="1"/>
    <col min="7" max="7" width="11.1796875" style="1" bestFit="1" customWidth="1"/>
    <col min="8" max="9" width="11" style="1" bestFit="1" customWidth="1"/>
    <col min="10" max="10" width="11.26953125" style="1" bestFit="1" customWidth="1"/>
    <col min="11" max="11" width="11.453125" style="1" bestFit="1" customWidth="1"/>
    <col min="12" max="12" width="10.81640625" style="1" bestFit="1" customWidth="1"/>
    <col min="13" max="13" width="11.08984375" style="1" bestFit="1" customWidth="1"/>
    <col min="14" max="14" width="11.26953125" style="1" bestFit="1" customWidth="1"/>
    <col min="15" max="15" width="10.90625" style="1" bestFit="1" customWidth="1"/>
    <col min="16" max="16" width="11.453125" style="1" bestFit="1" customWidth="1"/>
    <col min="17" max="17" width="10.81640625" style="1" bestFit="1" customWidth="1"/>
    <col min="18" max="22" width="8.81640625" style="1"/>
    <col min="23" max="25" width="8.6328125" style="1" customWidth="1"/>
    <col min="26" max="26" width="21.36328125" style="1" bestFit="1" customWidth="1"/>
    <col min="27" max="27" width="8.81640625" style="1"/>
    <col min="28" max="28" width="9.81640625" style="1" bestFit="1" customWidth="1"/>
    <col min="29" max="29" width="14.08984375" style="1" bestFit="1" customWidth="1"/>
    <col min="30" max="32" width="9.08984375" style="1" bestFit="1" customWidth="1"/>
    <col min="33" max="33" width="9.81640625" style="1" bestFit="1" customWidth="1"/>
    <col min="34" max="35" width="9.08984375" style="1" bestFit="1" customWidth="1"/>
    <col min="36" max="37" width="9.453125" style="1" bestFit="1" customWidth="1"/>
    <col min="38" max="40" width="8.90625" style="1" bestFit="1" customWidth="1"/>
    <col min="41" max="16384" width="8.81640625" style="1"/>
  </cols>
  <sheetData>
    <row r="1" spans="1:40" ht="17" thickBot="1">
      <c r="A1" s="6" t="s">
        <v>75</v>
      </c>
      <c r="C1" s="7"/>
      <c r="D1" s="7"/>
      <c r="E1" s="7"/>
      <c r="F1" s="7"/>
      <c r="G1" s="8" t="s">
        <v>107</v>
      </c>
      <c r="H1" s="7"/>
      <c r="I1" s="7"/>
      <c r="J1" s="7"/>
      <c r="K1" s="7"/>
      <c r="L1" s="7"/>
    </row>
    <row r="2" spans="1:40" ht="17" thickBot="1">
      <c r="X2" s="92" t="s">
        <v>68</v>
      </c>
      <c r="Y2" s="94"/>
      <c r="Z2" s="93"/>
    </row>
    <row r="3" spans="1:40" ht="17" thickBot="1">
      <c r="A3" s="92" t="s">
        <v>71</v>
      </c>
      <c r="B3" s="93"/>
    </row>
    <row r="4" spans="1:40">
      <c r="C4" s="1" t="s">
        <v>2</v>
      </c>
      <c r="D4" s="9" t="s">
        <v>77</v>
      </c>
      <c r="E4" s="9" t="s">
        <v>78</v>
      </c>
      <c r="F4" s="9" t="s">
        <v>86</v>
      </c>
      <c r="G4" s="9" t="s">
        <v>87</v>
      </c>
      <c r="H4" s="9" t="s">
        <v>88</v>
      </c>
      <c r="I4" s="9" t="s">
        <v>89</v>
      </c>
      <c r="J4" s="9" t="s">
        <v>90</v>
      </c>
      <c r="K4" s="9" t="s">
        <v>91</v>
      </c>
      <c r="L4" s="9" t="s">
        <v>92</v>
      </c>
      <c r="M4" s="9" t="s">
        <v>93</v>
      </c>
      <c r="N4" s="9" t="s">
        <v>94</v>
      </c>
      <c r="O4" s="9" t="s">
        <v>95</v>
      </c>
      <c r="P4" s="9" t="s">
        <v>84</v>
      </c>
      <c r="Q4" s="9" t="s">
        <v>85</v>
      </c>
      <c r="Z4" s="1" t="s">
        <v>2</v>
      </c>
      <c r="AA4" s="9" t="s">
        <v>77</v>
      </c>
      <c r="AB4" s="9" t="s">
        <v>78</v>
      </c>
      <c r="AC4" s="9" t="s">
        <v>86</v>
      </c>
      <c r="AD4" s="9" t="s">
        <v>87</v>
      </c>
      <c r="AE4" s="9" t="s">
        <v>88</v>
      </c>
      <c r="AF4" s="9" t="s">
        <v>89</v>
      </c>
      <c r="AG4" s="9" t="s">
        <v>90</v>
      </c>
      <c r="AH4" s="9" t="s">
        <v>91</v>
      </c>
      <c r="AI4" s="9" t="s">
        <v>92</v>
      </c>
      <c r="AJ4" s="9" t="s">
        <v>93</v>
      </c>
      <c r="AK4" s="9" t="s">
        <v>94</v>
      </c>
      <c r="AL4" s="9" t="s">
        <v>95</v>
      </c>
      <c r="AM4" s="9" t="s">
        <v>84</v>
      </c>
      <c r="AN4" s="9" t="s">
        <v>85</v>
      </c>
    </row>
    <row r="5" spans="1:40">
      <c r="C5" s="72" t="s">
        <v>38</v>
      </c>
      <c r="D5" s="68">
        <v>232000</v>
      </c>
      <c r="E5" s="68">
        <v>233000</v>
      </c>
      <c r="F5" s="68">
        <v>233423</v>
      </c>
      <c r="G5" s="68">
        <v>236781</v>
      </c>
      <c r="H5" s="68">
        <v>240543</v>
      </c>
      <c r="I5" s="68">
        <v>238000</v>
      </c>
      <c r="J5" s="68">
        <v>241300</v>
      </c>
      <c r="K5" s="68">
        <v>242000</v>
      </c>
      <c r="L5" s="68">
        <v>242222</v>
      </c>
      <c r="M5" s="68">
        <v>245654</v>
      </c>
      <c r="N5" s="68">
        <v>246578</v>
      </c>
      <c r="O5" s="68">
        <v>247600</v>
      </c>
      <c r="P5" s="68">
        <v>247800</v>
      </c>
      <c r="Q5" s="68">
        <v>246546</v>
      </c>
      <c r="Z5" s="1" t="s">
        <v>38</v>
      </c>
      <c r="AA5" s="11"/>
      <c r="AB5" s="12">
        <f>(MensData[[#This Row],[Jun-26]]-MensData[[#This Row],[May-26]])/MensData[[#This Row],[May-26]]</f>
        <v>4.3103448275862068E-3</v>
      </c>
      <c r="AC5" s="12">
        <f>(MensData[[#This Row],[Jul-26]]-MensData[[#This Row],[Jun-26]])/MensData[[#This Row],[Jun-26]]</f>
        <v>1.8154506437768241E-3</v>
      </c>
      <c r="AD5" s="12">
        <f>(MensData[[#This Row],[Aug-26]]-MensData[[#This Row],[Jul-26]])/MensData[[#This Row],[Jul-26]]</f>
        <v>1.4385900275465571E-2</v>
      </c>
      <c r="AE5" s="12">
        <f>(MensData[[#This Row],[Sep-26]]-MensData[[#This Row],[Aug-26]])/MensData[[#This Row],[Aug-26]]</f>
        <v>1.588809912957543E-2</v>
      </c>
      <c r="AF5" s="12">
        <f>(MensData[[#This Row],[Oct-26]]-MensData[[#This Row],[Sep-26]])/MensData[[#This Row],[Sep-26]]</f>
        <v>-1.0571914377055246E-2</v>
      </c>
      <c r="AG5" s="12">
        <f>(MensData[[#This Row],[Nov-26]]-MensData[[#This Row],[Oct-26]])/MensData[[#This Row],[Oct-26]]</f>
        <v>1.3865546218487394E-2</v>
      </c>
      <c r="AH5" s="12">
        <f>(MensData[[#This Row],[Dec-26]]-MensData[[#This Row],[Nov-26]])/MensData[[#This Row],[Nov-26]]</f>
        <v>2.9009531703273932E-3</v>
      </c>
      <c r="AI5" s="12">
        <f>(MensData[[#This Row],[Jan-27]]-MensData[[#This Row],[Dec-26]])/MensData[[#This Row],[Dec-26]]</f>
        <v>9.1735537190082645E-4</v>
      </c>
      <c r="AJ5" s="12">
        <f>(MensData[[#This Row],[Feb-27]]-MensData[[#This Row],[Jan-27]])/MensData[[#This Row],[Jan-27]]</f>
        <v>1.4168820338367282E-2</v>
      </c>
      <c r="AK5" s="12">
        <f>(MensData[[#This Row],[Mar-27]]-MensData[[#This Row],[Feb-27]])/MensData[[#This Row],[Feb-27]]</f>
        <v>3.7613879684434202E-3</v>
      </c>
      <c r="AL5" s="12">
        <f>(MensData[[#This Row],[Apr-27]]-MensData[[#This Row],[Mar-27]])/MensData[[#This Row],[Mar-27]]</f>
        <v>4.1447331067654049E-3</v>
      </c>
      <c r="AM5" s="12">
        <f>(MensData[[#This Row],[May-27]]-MensData[[#This Row],[Apr-27]])/MensData[[#This Row],[Apr-27]]</f>
        <v>8.0775444264943462E-4</v>
      </c>
      <c r="AN5" s="12">
        <f>(MensData[[#This Row],[Jun-27]]-MensData[[#This Row],[May-27]])/MensData[[#This Row],[May-27]]</f>
        <v>-5.0605326876513321E-3</v>
      </c>
    </row>
    <row r="6" spans="1:40">
      <c r="C6" s="72" t="s">
        <v>39</v>
      </c>
      <c r="D6" s="68">
        <v>4366000</v>
      </c>
      <c r="E6" s="68">
        <v>6200000</v>
      </c>
      <c r="F6" s="68">
        <v>9400000</v>
      </c>
      <c r="G6" s="68">
        <v>9000000</v>
      </c>
      <c r="H6" s="68">
        <v>7500000</v>
      </c>
      <c r="I6" s="68">
        <v>3700000</v>
      </c>
      <c r="J6" s="68">
        <v>4400000</v>
      </c>
      <c r="K6" s="68">
        <v>3900000</v>
      </c>
      <c r="L6" s="68">
        <v>6543210</v>
      </c>
      <c r="M6" s="68">
        <v>4580000</v>
      </c>
      <c r="N6" s="68">
        <v>4356701</v>
      </c>
      <c r="O6" s="68">
        <v>5670002</v>
      </c>
      <c r="P6" s="68">
        <v>5458970</v>
      </c>
      <c r="Q6" s="68">
        <v>4325671</v>
      </c>
      <c r="Z6" s="1" t="s">
        <v>39</v>
      </c>
      <c r="AA6" s="11"/>
      <c r="AB6" s="12">
        <f>(MensData[[#This Row],[Jun-26]]-MensData[[#This Row],[May-26]])/MensData[[#This Row],[May-26]]</f>
        <v>0.4200641319285387</v>
      </c>
      <c r="AC6" s="12">
        <f>(MensData[[#This Row],[Jul-26]]-MensData[[#This Row],[Jun-26]])/MensData[[#This Row],[Jun-26]]</f>
        <v>0.5161290322580645</v>
      </c>
      <c r="AD6" s="12">
        <f>(MensData[[#This Row],[Aug-26]]-MensData[[#This Row],[Jul-26]])/MensData[[#This Row],[Jul-26]]</f>
        <v>-4.2553191489361701E-2</v>
      </c>
      <c r="AE6" s="12">
        <f>(MensData[[#This Row],[Sep-26]]-MensData[[#This Row],[Aug-26]])/MensData[[#This Row],[Aug-26]]</f>
        <v>-0.16666666666666666</v>
      </c>
      <c r="AF6" s="12">
        <f>(MensData[[#This Row],[Oct-26]]-MensData[[#This Row],[Sep-26]])/MensData[[#This Row],[Sep-26]]</f>
        <v>-0.50666666666666671</v>
      </c>
      <c r="AG6" s="12">
        <f>(MensData[[#This Row],[Nov-26]]-MensData[[#This Row],[Oct-26]])/MensData[[#This Row],[Oct-26]]</f>
        <v>0.1891891891891892</v>
      </c>
      <c r="AH6" s="12">
        <f>(MensData[[#This Row],[Dec-26]]-MensData[[#This Row],[Nov-26]])/MensData[[#This Row],[Nov-26]]</f>
        <v>-0.11363636363636363</v>
      </c>
      <c r="AI6" s="12">
        <f>(MensData[[#This Row],[Jan-27]]-MensData[[#This Row],[Dec-26]])/MensData[[#This Row],[Dec-26]]</f>
        <v>0.67774615384615389</v>
      </c>
      <c r="AJ6" s="12">
        <f>(MensData[[#This Row],[Feb-27]]-MensData[[#This Row],[Jan-27]])/MensData[[#This Row],[Jan-27]]</f>
        <v>-0.30003774905589153</v>
      </c>
      <c r="AK6" s="12">
        <f>(MensData[[#This Row],[Mar-27]]-MensData[[#This Row],[Feb-27]])/MensData[[#This Row],[Feb-27]]</f>
        <v>-4.875524017467249E-2</v>
      </c>
      <c r="AL6" s="12">
        <f>(MensData[[#This Row],[Apr-27]]-MensData[[#This Row],[Mar-27]])/MensData[[#This Row],[Mar-27]]</f>
        <v>0.30144391364016032</v>
      </c>
      <c r="AM6" s="12">
        <f>(MensData[[#This Row],[May-27]]-MensData[[#This Row],[Apr-27]])/MensData[[#This Row],[Apr-27]]</f>
        <v>-3.7219034490640394E-2</v>
      </c>
      <c r="AN6" s="12">
        <f>(MensData[[#This Row],[Jun-27]]-MensData[[#This Row],[May-27]])/MensData[[#This Row],[May-27]]</f>
        <v>-0.20760308263280436</v>
      </c>
    </row>
    <row r="7" spans="1:40">
      <c r="C7" s="72" t="s">
        <v>40</v>
      </c>
      <c r="D7" s="69">
        <v>2.4E-2</v>
      </c>
      <c r="E7" s="69">
        <v>4.2999999999999997E-2</v>
      </c>
      <c r="F7" s="69">
        <v>4.3999999999999997E-2</v>
      </c>
      <c r="G7" s="69">
        <v>4.1000000000000002E-2</v>
      </c>
      <c r="H7" s="69">
        <v>4.1000000000000002E-2</v>
      </c>
      <c r="I7" s="69">
        <v>3.7999999999999999E-2</v>
      </c>
      <c r="J7" s="69">
        <v>4.2000000000000003E-2</v>
      </c>
      <c r="K7" s="69">
        <v>4.5999999999999999E-2</v>
      </c>
      <c r="L7" s="69">
        <v>3.9E-2</v>
      </c>
      <c r="M7" s="69">
        <v>2.7E-2</v>
      </c>
      <c r="N7" s="69">
        <v>3.3300000000000003E-2</v>
      </c>
      <c r="O7" s="69">
        <v>4.53E-2</v>
      </c>
      <c r="P7" s="69">
        <v>4.3200000000000002E-2</v>
      </c>
      <c r="Q7" s="69">
        <v>3.4500000000000003E-2</v>
      </c>
      <c r="Z7" s="1" t="s">
        <v>40</v>
      </c>
      <c r="AA7" s="11"/>
      <c r="AB7" s="12">
        <f>(MensData[[#This Row],[Jun-26]]-MensData[[#This Row],[May-26]])/MensData[[#This Row],[May-26]]</f>
        <v>0.79166666666666652</v>
      </c>
      <c r="AC7" s="12">
        <f>(MensData[[#This Row],[Jul-26]]-MensData[[#This Row],[Jun-26]])/MensData[[#This Row],[Jun-26]]</f>
        <v>2.3255813953488396E-2</v>
      </c>
      <c r="AD7" s="12">
        <f>(MensData[[#This Row],[Aug-26]]-MensData[[#This Row],[Jul-26]])/MensData[[#This Row],[Jul-26]]</f>
        <v>-6.8181818181818094E-2</v>
      </c>
      <c r="AE7" s="12">
        <f>(MensData[[#This Row],[Sep-26]]-MensData[[#This Row],[Aug-26]])/MensData[[#This Row],[Aug-26]]</f>
        <v>0</v>
      </c>
      <c r="AF7" s="12">
        <f>(MensData[[#This Row],[Oct-26]]-MensData[[#This Row],[Sep-26]])/MensData[[#This Row],[Sep-26]]</f>
        <v>-7.3170731707317138E-2</v>
      </c>
      <c r="AG7" s="12">
        <f>(MensData[[#This Row],[Nov-26]]-MensData[[#This Row],[Oct-26]])/MensData[[#This Row],[Oct-26]]</f>
        <v>0.10526315789473693</v>
      </c>
      <c r="AH7" s="12">
        <f>(MensData[[#This Row],[Dec-26]]-MensData[[#This Row],[Nov-26]])/MensData[[#This Row],[Nov-26]]</f>
        <v>9.523809523809515E-2</v>
      </c>
      <c r="AI7" s="12">
        <f>(MensData[[#This Row],[Jan-27]]-MensData[[#This Row],[Dec-26]])/MensData[[#This Row],[Dec-26]]</f>
        <v>-0.15217391304347824</v>
      </c>
      <c r="AJ7" s="12">
        <f>(MensData[[#This Row],[Feb-27]]-MensData[[#This Row],[Jan-27]])/MensData[[#This Row],[Jan-27]]</f>
        <v>-0.30769230769230771</v>
      </c>
      <c r="AK7" s="12">
        <f>(MensData[[#This Row],[Mar-27]]-MensData[[#This Row],[Feb-27]])/MensData[[#This Row],[Feb-27]]</f>
        <v>0.23333333333333348</v>
      </c>
      <c r="AL7" s="12">
        <f>(MensData[[#This Row],[Apr-27]]-MensData[[#This Row],[Mar-27]])/MensData[[#This Row],[Mar-27]]</f>
        <v>0.36036036036036023</v>
      </c>
      <c r="AM7" s="12">
        <f>(MensData[[#This Row],[May-27]]-MensData[[#This Row],[Apr-27]])/MensData[[#This Row],[Apr-27]]</f>
        <v>-4.6357615894039687E-2</v>
      </c>
      <c r="AN7" s="12">
        <f>(MensData[[#This Row],[Jun-27]]-MensData[[#This Row],[May-27]])/MensData[[#This Row],[May-27]]</f>
        <v>-0.20138888888888887</v>
      </c>
    </row>
    <row r="8" spans="1:40">
      <c r="C8" s="72" t="s">
        <v>41</v>
      </c>
      <c r="D8" s="68">
        <v>136000</v>
      </c>
      <c r="E8" s="68">
        <v>357000</v>
      </c>
      <c r="F8" s="68">
        <v>422500</v>
      </c>
      <c r="G8" s="68">
        <v>377700</v>
      </c>
      <c r="H8" s="68">
        <v>313000</v>
      </c>
      <c r="I8" s="68">
        <v>134000</v>
      </c>
      <c r="J8" s="68">
        <v>189700</v>
      </c>
      <c r="K8" s="68">
        <v>183400</v>
      </c>
      <c r="L8" s="68">
        <v>386154</v>
      </c>
      <c r="M8" s="68">
        <v>432111</v>
      </c>
      <c r="N8" s="68">
        <v>422111</v>
      </c>
      <c r="O8" s="68">
        <v>234555</v>
      </c>
      <c r="P8" s="68">
        <v>324123</v>
      </c>
      <c r="Q8" s="68">
        <v>326122</v>
      </c>
      <c r="Z8" s="1" t="s">
        <v>41</v>
      </c>
      <c r="AA8" s="11"/>
      <c r="AB8" s="12">
        <f>(MensData[[#This Row],[Jun-26]]-MensData[[#This Row],[May-26]])/MensData[[#This Row],[May-26]]</f>
        <v>1.625</v>
      </c>
      <c r="AC8" s="12">
        <f>(MensData[[#This Row],[Jul-26]]-MensData[[#This Row],[Jun-26]])/MensData[[#This Row],[Jun-26]]</f>
        <v>0.18347338935574228</v>
      </c>
      <c r="AD8" s="12">
        <f>(MensData[[#This Row],[Aug-26]]-MensData[[#This Row],[Jul-26]])/MensData[[#This Row],[Jul-26]]</f>
        <v>-0.10603550295857989</v>
      </c>
      <c r="AE8" s="12">
        <f>(MensData[[#This Row],[Sep-26]]-MensData[[#This Row],[Aug-26]])/MensData[[#This Row],[Aug-26]]</f>
        <v>-0.17129997352396081</v>
      </c>
      <c r="AF8" s="12">
        <f>(MensData[[#This Row],[Oct-26]]-MensData[[#This Row],[Sep-26]])/MensData[[#This Row],[Sep-26]]</f>
        <v>-0.5718849840255591</v>
      </c>
      <c r="AG8" s="12">
        <f>(MensData[[#This Row],[Nov-26]]-MensData[[#This Row],[Oct-26]])/MensData[[#This Row],[Oct-26]]</f>
        <v>0.41567164179104477</v>
      </c>
      <c r="AH8" s="12">
        <f>(MensData[[#This Row],[Dec-26]]-MensData[[#This Row],[Nov-26]])/MensData[[#This Row],[Nov-26]]</f>
        <v>-3.3210332103321034E-2</v>
      </c>
      <c r="AI8" s="12">
        <f>(MensData[[#This Row],[Jan-27]]-MensData[[#This Row],[Dec-26]])/MensData[[#This Row],[Dec-26]]</f>
        <v>1.1055288985823337</v>
      </c>
      <c r="AJ8" s="12">
        <f>(MensData[[#This Row],[Feb-27]]-MensData[[#This Row],[Jan-27]])/MensData[[#This Row],[Jan-27]]</f>
        <v>0.11901210397924145</v>
      </c>
      <c r="AK8" s="12">
        <f>(MensData[[#This Row],[Mar-27]]-MensData[[#This Row],[Feb-27]])/MensData[[#This Row],[Feb-27]]</f>
        <v>-2.314220188794083E-2</v>
      </c>
      <c r="AL8" s="12">
        <f>(MensData[[#This Row],[Apr-27]]-MensData[[#This Row],[Mar-27]])/MensData[[#This Row],[Mar-27]]</f>
        <v>-0.44432862446133836</v>
      </c>
      <c r="AM8" s="12">
        <f>(MensData[[#This Row],[May-27]]-MensData[[#This Row],[Apr-27]])/MensData[[#This Row],[Apr-27]]</f>
        <v>0.38186352880987401</v>
      </c>
      <c r="AN8" s="12">
        <f>(MensData[[#This Row],[Jun-27]]-MensData[[#This Row],[May-27]])/MensData[[#This Row],[May-27]]</f>
        <v>6.1674117541797406E-3</v>
      </c>
    </row>
    <row r="9" spans="1:40">
      <c r="C9" s="72" t="s">
        <v>42</v>
      </c>
      <c r="D9" s="68">
        <v>29800</v>
      </c>
      <c r="E9" s="68">
        <v>89200</v>
      </c>
      <c r="F9" s="68">
        <v>100600</v>
      </c>
      <c r="G9" s="68">
        <v>71900</v>
      </c>
      <c r="H9" s="68">
        <v>68100</v>
      </c>
      <c r="I9" s="68">
        <v>34300</v>
      </c>
      <c r="J9" s="68">
        <v>38900</v>
      </c>
      <c r="K9" s="68">
        <v>33900</v>
      </c>
      <c r="L9" s="68">
        <v>69040</v>
      </c>
      <c r="M9" s="68">
        <v>70123</v>
      </c>
      <c r="N9" s="68">
        <v>67888</v>
      </c>
      <c r="O9" s="68">
        <v>65768</v>
      </c>
      <c r="P9" s="68">
        <v>64555</v>
      </c>
      <c r="Q9" s="68">
        <v>55432</v>
      </c>
      <c r="Z9" s="1" t="s">
        <v>42</v>
      </c>
      <c r="AA9" s="11"/>
      <c r="AB9" s="12">
        <f>(MensData[[#This Row],[Jun-26]]-MensData[[#This Row],[May-26]])/MensData[[#This Row],[May-26]]</f>
        <v>1.9932885906040267</v>
      </c>
      <c r="AC9" s="12">
        <f>(MensData[[#This Row],[Jul-26]]-MensData[[#This Row],[Jun-26]])/MensData[[#This Row],[Jun-26]]</f>
        <v>0.12780269058295965</v>
      </c>
      <c r="AD9" s="12">
        <f>(MensData[[#This Row],[Aug-26]]-MensData[[#This Row],[Jul-26]])/MensData[[#This Row],[Jul-26]]</f>
        <v>-0.28528827037773358</v>
      </c>
      <c r="AE9" s="12">
        <f>(MensData[[#This Row],[Sep-26]]-MensData[[#This Row],[Aug-26]])/MensData[[#This Row],[Aug-26]]</f>
        <v>-5.2851182197496523E-2</v>
      </c>
      <c r="AF9" s="12">
        <f>(MensData[[#This Row],[Oct-26]]-MensData[[#This Row],[Sep-26]])/MensData[[#This Row],[Sep-26]]</f>
        <v>-0.49632892804698975</v>
      </c>
      <c r="AG9" s="12">
        <f>(MensData[[#This Row],[Nov-26]]-MensData[[#This Row],[Oct-26]])/MensData[[#This Row],[Oct-26]]</f>
        <v>0.13411078717201166</v>
      </c>
      <c r="AH9" s="12">
        <f>(MensData[[#This Row],[Dec-26]]-MensData[[#This Row],[Nov-26]])/MensData[[#This Row],[Nov-26]]</f>
        <v>-0.12853470437017994</v>
      </c>
      <c r="AI9" s="12">
        <f>(MensData[[#This Row],[Jan-27]]-MensData[[#This Row],[Dec-26]])/MensData[[#This Row],[Dec-26]]</f>
        <v>1.0365781710914455</v>
      </c>
      <c r="AJ9" s="12">
        <f>(MensData[[#This Row],[Feb-27]]-MensData[[#This Row],[Jan-27]])/MensData[[#This Row],[Jan-27]]</f>
        <v>1.5686558516801855E-2</v>
      </c>
      <c r="AK9" s="12">
        <f>(MensData[[#This Row],[Mar-27]]-MensData[[#This Row],[Feb-27]])/MensData[[#This Row],[Feb-27]]</f>
        <v>-3.1872566775523012E-2</v>
      </c>
      <c r="AL9" s="12">
        <f>(MensData[[#This Row],[Apr-27]]-MensData[[#This Row],[Mar-27]])/MensData[[#This Row],[Mar-27]]</f>
        <v>-3.1227904784350696E-2</v>
      </c>
      <c r="AM9" s="12">
        <f>(MensData[[#This Row],[May-27]]-MensData[[#This Row],[Apr-27]])/MensData[[#This Row],[Apr-27]]</f>
        <v>-1.8443619997567207E-2</v>
      </c>
      <c r="AN9" s="12">
        <f>(MensData[[#This Row],[Jun-27]]-MensData[[#This Row],[May-27]])/MensData[[#This Row],[May-27]]</f>
        <v>-0.14132135388428471</v>
      </c>
    </row>
    <row r="10" spans="1:40">
      <c r="C10" s="72" t="s">
        <v>43</v>
      </c>
      <c r="D10" s="68">
        <v>1340</v>
      </c>
      <c r="E10" s="68">
        <v>2400</v>
      </c>
      <c r="F10" s="68">
        <v>3300</v>
      </c>
      <c r="G10" s="68">
        <v>3900</v>
      </c>
      <c r="H10" s="68">
        <v>4700</v>
      </c>
      <c r="I10" s="68">
        <v>3800</v>
      </c>
      <c r="J10" s="68">
        <v>3200</v>
      </c>
      <c r="K10" s="68">
        <v>3900</v>
      </c>
      <c r="L10" s="68">
        <v>6400</v>
      </c>
      <c r="M10" s="68">
        <v>7544</v>
      </c>
      <c r="N10" s="68">
        <v>7200</v>
      </c>
      <c r="O10" s="68">
        <v>6500</v>
      </c>
      <c r="P10" s="68">
        <v>5600</v>
      </c>
      <c r="Q10" s="68">
        <v>7234</v>
      </c>
      <c r="Z10" s="1" t="s">
        <v>43</v>
      </c>
      <c r="AA10" s="11"/>
      <c r="AB10" s="12">
        <f>(MensData[[#This Row],[Jun-26]]-MensData[[#This Row],[May-26]])/MensData[[#This Row],[May-26]]</f>
        <v>0.79104477611940294</v>
      </c>
      <c r="AC10" s="12">
        <f>(MensData[[#This Row],[Jul-26]]-MensData[[#This Row],[Jun-26]])/MensData[[#This Row],[Jun-26]]</f>
        <v>0.375</v>
      </c>
      <c r="AD10" s="12">
        <f>(MensData[[#This Row],[Aug-26]]-MensData[[#This Row],[Jul-26]])/MensData[[#This Row],[Jul-26]]</f>
        <v>0.18181818181818182</v>
      </c>
      <c r="AE10" s="12">
        <f>(MensData[[#This Row],[Sep-26]]-MensData[[#This Row],[Aug-26]])/MensData[[#This Row],[Aug-26]]</f>
        <v>0.20512820512820512</v>
      </c>
      <c r="AF10" s="12">
        <f>(MensData[[#This Row],[Oct-26]]-MensData[[#This Row],[Sep-26]])/MensData[[#This Row],[Sep-26]]</f>
        <v>-0.19148936170212766</v>
      </c>
      <c r="AG10" s="12">
        <f>(MensData[[#This Row],[Nov-26]]-MensData[[#This Row],[Oct-26]])/MensData[[#This Row],[Oct-26]]</f>
        <v>-0.15789473684210525</v>
      </c>
      <c r="AH10" s="12">
        <f>(MensData[[#This Row],[Dec-26]]-MensData[[#This Row],[Nov-26]])/MensData[[#This Row],[Nov-26]]</f>
        <v>0.21875</v>
      </c>
      <c r="AI10" s="12">
        <f>(MensData[[#This Row],[Jan-27]]-MensData[[#This Row],[Dec-26]])/MensData[[#This Row],[Dec-26]]</f>
        <v>0.64102564102564108</v>
      </c>
      <c r="AJ10" s="12">
        <f>(MensData[[#This Row],[Feb-27]]-MensData[[#This Row],[Jan-27]])/MensData[[#This Row],[Jan-27]]</f>
        <v>0.17874999999999999</v>
      </c>
      <c r="AK10" s="12">
        <f>(MensData[[#This Row],[Mar-27]]-MensData[[#This Row],[Feb-27]])/MensData[[#This Row],[Feb-27]]</f>
        <v>-4.5599151643690349E-2</v>
      </c>
      <c r="AL10" s="12">
        <f>(MensData[[#This Row],[Apr-27]]-MensData[[#This Row],[Mar-27]])/MensData[[#This Row],[Mar-27]]</f>
        <v>-9.7222222222222224E-2</v>
      </c>
      <c r="AM10" s="12">
        <f>(MensData[[#This Row],[May-27]]-MensData[[#This Row],[Apr-27]])/MensData[[#This Row],[Apr-27]]</f>
        <v>-0.13846153846153847</v>
      </c>
      <c r="AN10" s="12">
        <f>(MensData[[#This Row],[Jun-27]]-MensData[[#This Row],[May-27]])/MensData[[#This Row],[May-27]]</f>
        <v>0.29178571428571426</v>
      </c>
    </row>
    <row r="11" spans="1:40">
      <c r="C11" s="72" t="s">
        <v>44</v>
      </c>
      <c r="D11" s="68">
        <v>14270</v>
      </c>
      <c r="E11" s="68">
        <v>27400</v>
      </c>
      <c r="F11" s="68">
        <v>52300</v>
      </c>
      <c r="G11" s="68">
        <v>57600</v>
      </c>
      <c r="H11" s="68">
        <v>37600</v>
      </c>
      <c r="I11" s="68">
        <v>10800</v>
      </c>
      <c r="J11" s="68">
        <v>22500</v>
      </c>
      <c r="K11" s="68">
        <v>26300</v>
      </c>
      <c r="L11" s="68">
        <v>49065</v>
      </c>
      <c r="M11" s="68">
        <v>51890</v>
      </c>
      <c r="N11" s="68">
        <v>43444</v>
      </c>
      <c r="O11" s="68">
        <v>47089</v>
      </c>
      <c r="P11" s="68">
        <v>51234</v>
      </c>
      <c r="Q11" s="68">
        <v>32000</v>
      </c>
      <c r="Z11" s="1" t="s">
        <v>44</v>
      </c>
      <c r="AA11" s="11"/>
      <c r="AB11" s="12">
        <f>(MensData[[#This Row],[Jun-26]]-MensData[[#This Row],[May-26]])/MensData[[#This Row],[May-26]]</f>
        <v>0.92011212333566927</v>
      </c>
      <c r="AC11" s="12">
        <f>(MensData[[#This Row],[Jul-26]]-MensData[[#This Row],[Jun-26]])/MensData[[#This Row],[Jun-26]]</f>
        <v>0.90875912408759119</v>
      </c>
      <c r="AD11" s="12">
        <f>(MensData[[#This Row],[Aug-26]]-MensData[[#This Row],[Jul-26]])/MensData[[#This Row],[Jul-26]]</f>
        <v>0.10133843212237094</v>
      </c>
      <c r="AE11" s="12">
        <f>(MensData[[#This Row],[Sep-26]]-MensData[[#This Row],[Aug-26]])/MensData[[#This Row],[Aug-26]]</f>
        <v>-0.34722222222222221</v>
      </c>
      <c r="AF11" s="12">
        <f>(MensData[[#This Row],[Oct-26]]-MensData[[#This Row],[Sep-26]])/MensData[[#This Row],[Sep-26]]</f>
        <v>-0.71276595744680848</v>
      </c>
      <c r="AG11" s="12">
        <f>(MensData[[#This Row],[Nov-26]]-MensData[[#This Row],[Oct-26]])/MensData[[#This Row],[Oct-26]]</f>
        <v>1.0833333333333333</v>
      </c>
      <c r="AH11" s="12">
        <f>(MensData[[#This Row],[Dec-26]]-MensData[[#This Row],[Nov-26]])/MensData[[#This Row],[Nov-26]]</f>
        <v>0.16888888888888889</v>
      </c>
      <c r="AI11" s="12">
        <f>(MensData[[#This Row],[Jan-27]]-MensData[[#This Row],[Dec-26]])/MensData[[#This Row],[Dec-26]]</f>
        <v>0.86558935361216727</v>
      </c>
      <c r="AJ11" s="12">
        <f>(MensData[[#This Row],[Feb-27]]-MensData[[#This Row],[Jan-27]])/MensData[[#This Row],[Jan-27]]</f>
        <v>5.7576683990624683E-2</v>
      </c>
      <c r="AK11" s="12">
        <f>(MensData[[#This Row],[Mar-27]]-MensData[[#This Row],[Feb-27]])/MensData[[#This Row],[Feb-27]]</f>
        <v>-0.16276739256118714</v>
      </c>
      <c r="AL11" s="12">
        <f>(MensData[[#This Row],[Apr-27]]-MensData[[#This Row],[Mar-27]])/MensData[[#This Row],[Mar-27]]</f>
        <v>8.3901114077893385E-2</v>
      </c>
      <c r="AM11" s="12">
        <f>(MensData[[#This Row],[May-27]]-MensData[[#This Row],[Apr-27]])/MensData[[#This Row],[Apr-27]]</f>
        <v>8.8024804094374479E-2</v>
      </c>
      <c r="AN11" s="12">
        <f>(MensData[[#This Row],[Jun-27]]-MensData[[#This Row],[May-27]])/MensData[[#This Row],[May-27]]</f>
        <v>-0.37541476363352461</v>
      </c>
    </row>
    <row r="12" spans="1:40">
      <c r="C12" s="72" t="s">
        <v>45</v>
      </c>
      <c r="D12" s="68">
        <v>899</v>
      </c>
      <c r="E12" s="68">
        <v>1700</v>
      </c>
      <c r="F12" s="68">
        <v>2300</v>
      </c>
      <c r="G12" s="68">
        <v>3100</v>
      </c>
      <c r="H12" s="68">
        <v>2400</v>
      </c>
      <c r="I12" s="68">
        <v>992</v>
      </c>
      <c r="J12" s="68">
        <v>1400</v>
      </c>
      <c r="K12" s="68">
        <v>1300</v>
      </c>
      <c r="L12" s="68">
        <v>3466</v>
      </c>
      <c r="M12" s="68">
        <v>2456</v>
      </c>
      <c r="N12" s="68">
        <v>1234</v>
      </c>
      <c r="O12" s="68">
        <v>4321</v>
      </c>
      <c r="P12" s="68">
        <v>2341</v>
      </c>
      <c r="Q12" s="68">
        <v>3421</v>
      </c>
      <c r="Z12" s="1" t="s">
        <v>45</v>
      </c>
      <c r="AA12" s="11"/>
      <c r="AB12" s="12">
        <f>(MensData[[#This Row],[Jun-26]]-MensData[[#This Row],[May-26]])/MensData[[#This Row],[May-26]]</f>
        <v>0.89098998887652947</v>
      </c>
      <c r="AC12" s="12">
        <f>(MensData[[#This Row],[Jul-26]]-MensData[[#This Row],[Jun-26]])/MensData[[#This Row],[Jun-26]]</f>
        <v>0.35294117647058826</v>
      </c>
      <c r="AD12" s="12">
        <f>(MensData[[#This Row],[Aug-26]]-MensData[[#This Row],[Jul-26]])/MensData[[#This Row],[Jul-26]]</f>
        <v>0.34782608695652173</v>
      </c>
      <c r="AE12" s="12">
        <f>(MensData[[#This Row],[Sep-26]]-MensData[[#This Row],[Aug-26]])/MensData[[#This Row],[Aug-26]]</f>
        <v>-0.22580645161290322</v>
      </c>
      <c r="AF12" s="12">
        <f>(MensData[[#This Row],[Oct-26]]-MensData[[#This Row],[Sep-26]])/MensData[[#This Row],[Sep-26]]</f>
        <v>-0.58666666666666667</v>
      </c>
      <c r="AG12" s="12">
        <f>(MensData[[#This Row],[Nov-26]]-MensData[[#This Row],[Oct-26]])/MensData[[#This Row],[Oct-26]]</f>
        <v>0.41129032258064518</v>
      </c>
      <c r="AH12" s="12">
        <f>(MensData[[#This Row],[Dec-26]]-MensData[[#This Row],[Nov-26]])/MensData[[#This Row],[Nov-26]]</f>
        <v>-7.1428571428571425E-2</v>
      </c>
      <c r="AI12" s="12">
        <f>(MensData[[#This Row],[Jan-27]]-MensData[[#This Row],[Dec-26]])/MensData[[#This Row],[Dec-26]]</f>
        <v>1.6661538461538461</v>
      </c>
      <c r="AJ12" s="12">
        <f>(MensData[[#This Row],[Feb-27]]-MensData[[#This Row],[Jan-27]])/MensData[[#This Row],[Jan-27]]</f>
        <v>-0.29140219272937101</v>
      </c>
      <c r="AK12" s="12">
        <f>(MensData[[#This Row],[Mar-27]]-MensData[[#This Row],[Feb-27]])/MensData[[#This Row],[Feb-27]]</f>
        <v>-0.49755700325732899</v>
      </c>
      <c r="AL12" s="12">
        <f>(MensData[[#This Row],[Apr-27]]-MensData[[#This Row],[Mar-27]])/MensData[[#This Row],[Mar-27]]</f>
        <v>2.5016207455429496</v>
      </c>
      <c r="AM12" s="12">
        <f>(MensData[[#This Row],[May-27]]-MensData[[#This Row],[Apr-27]])/MensData[[#This Row],[Apr-27]]</f>
        <v>-0.45822726220782228</v>
      </c>
      <c r="AN12" s="12">
        <f>(MensData[[#This Row],[Jun-27]]-MensData[[#This Row],[May-27]])/MensData[[#This Row],[May-27]]</f>
        <v>0.46134130713370353</v>
      </c>
    </row>
    <row r="13" spans="1:40">
      <c r="C13" s="72" t="s">
        <v>46</v>
      </c>
      <c r="D13" s="68">
        <v>456</v>
      </c>
      <c r="E13" s="68">
        <v>817</v>
      </c>
      <c r="F13" s="68">
        <v>1100</v>
      </c>
      <c r="G13" s="68">
        <v>859</v>
      </c>
      <c r="H13" s="68">
        <v>731</v>
      </c>
      <c r="I13" s="68">
        <v>394</v>
      </c>
      <c r="J13" s="68">
        <v>446</v>
      </c>
      <c r="K13" s="68">
        <v>527</v>
      </c>
      <c r="L13" s="68">
        <v>1240</v>
      </c>
      <c r="M13" s="68">
        <v>980</v>
      </c>
      <c r="N13" s="68">
        <v>970</v>
      </c>
      <c r="O13" s="68">
        <v>567</v>
      </c>
      <c r="P13" s="68">
        <v>657</v>
      </c>
      <c r="Q13" s="68">
        <v>598</v>
      </c>
      <c r="Z13" s="1" t="s">
        <v>46</v>
      </c>
      <c r="AA13" s="11"/>
      <c r="AB13" s="12">
        <f>(MensData[[#This Row],[Jun-26]]-MensData[[#This Row],[May-26]])/MensData[[#This Row],[May-26]]</f>
        <v>0.79166666666666663</v>
      </c>
      <c r="AC13" s="12">
        <f>(MensData[[#This Row],[Jul-26]]-MensData[[#This Row],[Jun-26]])/MensData[[#This Row],[Jun-26]]</f>
        <v>0.34638922888616891</v>
      </c>
      <c r="AD13" s="12">
        <f>(MensData[[#This Row],[Aug-26]]-MensData[[#This Row],[Jul-26]])/MensData[[#This Row],[Jul-26]]</f>
        <v>-0.21909090909090909</v>
      </c>
      <c r="AE13" s="12">
        <f>(MensData[[#This Row],[Sep-26]]-MensData[[#This Row],[Aug-26]])/MensData[[#This Row],[Aug-26]]</f>
        <v>-0.1490104772991851</v>
      </c>
      <c r="AF13" s="12">
        <f>(MensData[[#This Row],[Oct-26]]-MensData[[#This Row],[Sep-26]])/MensData[[#This Row],[Sep-26]]</f>
        <v>-0.46101231190150477</v>
      </c>
      <c r="AG13" s="12">
        <f>(MensData[[#This Row],[Nov-26]]-MensData[[#This Row],[Oct-26]])/MensData[[#This Row],[Oct-26]]</f>
        <v>0.13197969543147209</v>
      </c>
      <c r="AH13" s="12">
        <f>(MensData[[#This Row],[Dec-26]]-MensData[[#This Row],[Nov-26]])/MensData[[#This Row],[Nov-26]]</f>
        <v>0.18161434977578475</v>
      </c>
      <c r="AI13" s="12">
        <f>(MensData[[#This Row],[Jan-27]]-MensData[[#This Row],[Dec-26]])/MensData[[#This Row],[Dec-26]]</f>
        <v>1.3529411764705883</v>
      </c>
      <c r="AJ13" s="12">
        <f>(MensData[[#This Row],[Feb-27]]-MensData[[#This Row],[Jan-27]])/MensData[[#This Row],[Jan-27]]</f>
        <v>-0.20967741935483872</v>
      </c>
      <c r="AK13" s="12">
        <f>(MensData[[#This Row],[Mar-27]]-MensData[[#This Row],[Feb-27]])/MensData[[#This Row],[Feb-27]]</f>
        <v>-1.020408163265306E-2</v>
      </c>
      <c r="AL13" s="12">
        <f>(MensData[[#This Row],[Apr-27]]-MensData[[#This Row],[Mar-27]])/MensData[[#This Row],[Mar-27]]</f>
        <v>-0.41546391752577322</v>
      </c>
      <c r="AM13" s="12">
        <f>(MensData[[#This Row],[May-27]]-MensData[[#This Row],[Apr-27]])/MensData[[#This Row],[Apr-27]]</f>
        <v>0.15873015873015872</v>
      </c>
      <c r="AN13" s="12">
        <f>(MensData[[#This Row],[Jun-27]]-MensData[[#This Row],[May-27]])/MensData[[#This Row],[May-27]]</f>
        <v>-8.9802130898021304E-2</v>
      </c>
    </row>
    <row r="14" spans="1:40">
      <c r="C14" s="72" t="s">
        <v>47</v>
      </c>
      <c r="D14" s="68">
        <v>1034</v>
      </c>
      <c r="E14" s="68">
        <v>1800</v>
      </c>
      <c r="F14" s="68">
        <v>1900</v>
      </c>
      <c r="G14" s="68">
        <v>1300</v>
      </c>
      <c r="H14" s="68">
        <v>1200</v>
      </c>
      <c r="I14" s="68">
        <v>548</v>
      </c>
      <c r="J14" s="68">
        <v>574</v>
      </c>
      <c r="K14" s="68">
        <v>576</v>
      </c>
      <c r="L14" s="68">
        <v>2242</v>
      </c>
      <c r="M14" s="68">
        <v>768</v>
      </c>
      <c r="N14" s="68">
        <v>1022</v>
      </c>
      <c r="O14" s="68">
        <v>456</v>
      </c>
      <c r="P14" s="68">
        <v>678</v>
      </c>
      <c r="Q14" s="68">
        <v>777</v>
      </c>
      <c r="Z14" s="1" t="s">
        <v>47</v>
      </c>
      <c r="AA14" s="11"/>
      <c r="AB14" s="12">
        <f>(MensData[[#This Row],[Jun-26]]-MensData[[#This Row],[May-26]])/MensData[[#This Row],[May-26]]</f>
        <v>0.74081237911025144</v>
      </c>
      <c r="AC14" s="12">
        <f>(MensData[[#This Row],[Jul-26]]-MensData[[#This Row],[Jun-26]])/MensData[[#This Row],[Jun-26]]</f>
        <v>5.5555555555555552E-2</v>
      </c>
      <c r="AD14" s="12">
        <f>(MensData[[#This Row],[Aug-26]]-MensData[[#This Row],[Jul-26]])/MensData[[#This Row],[Jul-26]]</f>
        <v>-0.31578947368421051</v>
      </c>
      <c r="AE14" s="12">
        <f>(MensData[[#This Row],[Sep-26]]-MensData[[#This Row],[Aug-26]])/MensData[[#This Row],[Aug-26]]</f>
        <v>-7.6923076923076927E-2</v>
      </c>
      <c r="AF14" s="12">
        <f>(MensData[[#This Row],[Oct-26]]-MensData[[#This Row],[Sep-26]])/MensData[[#This Row],[Sep-26]]</f>
        <v>-0.54333333333333333</v>
      </c>
      <c r="AG14" s="12">
        <f>(MensData[[#This Row],[Nov-26]]-MensData[[#This Row],[Oct-26]])/MensData[[#This Row],[Oct-26]]</f>
        <v>4.7445255474452552E-2</v>
      </c>
      <c r="AH14" s="12">
        <f>(MensData[[#This Row],[Dec-26]]-MensData[[#This Row],[Nov-26]])/MensData[[#This Row],[Nov-26]]</f>
        <v>3.4843205574912892E-3</v>
      </c>
      <c r="AI14" s="12">
        <f>(MensData[[#This Row],[Jan-27]]-MensData[[#This Row],[Dec-26]])/MensData[[#This Row],[Dec-26]]</f>
        <v>2.8923611111111112</v>
      </c>
      <c r="AJ14" s="12">
        <f>(MensData[[#This Row],[Feb-27]]-MensData[[#This Row],[Jan-27]])/MensData[[#This Row],[Jan-27]]</f>
        <v>-0.65744870651204279</v>
      </c>
      <c r="AK14" s="12">
        <f>(MensData[[#This Row],[Mar-27]]-MensData[[#This Row],[Feb-27]])/MensData[[#This Row],[Feb-27]]</f>
        <v>0.33072916666666669</v>
      </c>
      <c r="AL14" s="12">
        <f>(MensData[[#This Row],[Apr-27]]-MensData[[#This Row],[Mar-27]])/MensData[[#This Row],[Mar-27]]</f>
        <v>-0.55381604696673192</v>
      </c>
      <c r="AM14" s="12">
        <f>(MensData[[#This Row],[May-27]]-MensData[[#This Row],[Apr-27]])/MensData[[#This Row],[Apr-27]]</f>
        <v>0.48684210526315791</v>
      </c>
      <c r="AN14" s="12">
        <f>(MensData[[#This Row],[Jun-27]]-MensData[[#This Row],[May-27]])/MensData[[#This Row],[May-27]]</f>
        <v>0.14601769911504425</v>
      </c>
    </row>
    <row r="15" spans="1:40">
      <c r="C15" s="72" t="s">
        <v>48</v>
      </c>
      <c r="D15" s="68">
        <v>342600</v>
      </c>
      <c r="E15" s="68">
        <v>493400</v>
      </c>
      <c r="F15" s="68">
        <v>698800</v>
      </c>
      <c r="G15" s="68">
        <v>613900</v>
      </c>
      <c r="H15" s="68">
        <v>322100</v>
      </c>
      <c r="I15" s="68">
        <v>233500</v>
      </c>
      <c r="J15" s="68">
        <v>207700</v>
      </c>
      <c r="K15" s="68">
        <v>255432</v>
      </c>
      <c r="L15" s="68">
        <v>464100</v>
      </c>
      <c r="M15" s="68">
        <v>450000</v>
      </c>
      <c r="N15" s="68">
        <v>465789</v>
      </c>
      <c r="O15" s="68">
        <v>657000</v>
      </c>
      <c r="P15" s="68">
        <v>451232</v>
      </c>
      <c r="Q15" s="68">
        <v>442789</v>
      </c>
      <c r="Z15" s="1" t="s">
        <v>48</v>
      </c>
      <c r="AA15" s="11"/>
      <c r="AB15" s="12">
        <f>(MensData[[#This Row],[Jun-26]]-MensData[[#This Row],[May-26]])/MensData[[#This Row],[May-26]]</f>
        <v>0.44016345592527728</v>
      </c>
      <c r="AC15" s="12">
        <f>(MensData[[#This Row],[Jul-26]]-MensData[[#This Row],[Jun-26]])/MensData[[#This Row],[Jun-26]]</f>
        <v>0.41629509525739766</v>
      </c>
      <c r="AD15" s="12">
        <f>(MensData[[#This Row],[Aug-26]]-MensData[[#This Row],[Jul-26]])/MensData[[#This Row],[Jul-26]]</f>
        <v>-0.12149398969662278</v>
      </c>
      <c r="AE15" s="12">
        <f>(MensData[[#This Row],[Sep-26]]-MensData[[#This Row],[Aug-26]])/MensData[[#This Row],[Aug-26]]</f>
        <v>-0.47532171363414238</v>
      </c>
      <c r="AF15" s="12">
        <f>(MensData[[#This Row],[Oct-26]]-MensData[[#This Row],[Sep-26]])/MensData[[#This Row],[Sep-26]]</f>
        <v>-0.27506985408258305</v>
      </c>
      <c r="AG15" s="12">
        <f>(MensData[[#This Row],[Nov-26]]-MensData[[#This Row],[Oct-26]])/MensData[[#This Row],[Oct-26]]</f>
        <v>-0.11049250535331906</v>
      </c>
      <c r="AH15" s="12">
        <f>(MensData[[#This Row],[Dec-26]]-MensData[[#This Row],[Nov-26]])/MensData[[#This Row],[Nov-26]]</f>
        <v>0.22981222917669716</v>
      </c>
      <c r="AI15" s="12">
        <f>(MensData[[#This Row],[Jan-27]]-MensData[[#This Row],[Dec-26]])/MensData[[#This Row],[Dec-26]]</f>
        <v>0.8169219205111341</v>
      </c>
      <c r="AJ15" s="12">
        <f>(MensData[[#This Row],[Feb-27]]-MensData[[#This Row],[Jan-27]])/MensData[[#This Row],[Jan-27]]</f>
        <v>-3.0381383322559793E-2</v>
      </c>
      <c r="AK15" s="12">
        <f>(MensData[[#This Row],[Mar-27]]-MensData[[#This Row],[Feb-27]])/MensData[[#This Row],[Feb-27]]</f>
        <v>3.5086666666666669E-2</v>
      </c>
      <c r="AL15" s="12">
        <f>(MensData[[#This Row],[Apr-27]]-MensData[[#This Row],[Mar-27]])/MensData[[#This Row],[Mar-27]]</f>
        <v>0.41050990899312778</v>
      </c>
      <c r="AM15" s="12">
        <f>(MensData[[#This Row],[May-27]]-MensData[[#This Row],[Apr-27]])/MensData[[#This Row],[Apr-27]]</f>
        <v>-0.31319330289193303</v>
      </c>
      <c r="AN15" s="12">
        <f>(MensData[[#This Row],[Jun-27]]-MensData[[#This Row],[May-27]])/MensData[[#This Row],[May-27]]</f>
        <v>-1.8710995674065669E-2</v>
      </c>
    </row>
    <row r="16" spans="1:40">
      <c r="C16" s="72" t="s">
        <v>49</v>
      </c>
      <c r="D16" s="68">
        <v>800000</v>
      </c>
      <c r="E16" s="68">
        <v>1000000</v>
      </c>
      <c r="F16" s="68">
        <v>1400000</v>
      </c>
      <c r="G16" s="68">
        <v>454000</v>
      </c>
      <c r="H16" s="68">
        <v>237000</v>
      </c>
      <c r="I16" s="68">
        <v>48000</v>
      </c>
      <c r="J16" s="68">
        <v>241000</v>
      </c>
      <c r="K16" s="68">
        <v>486000</v>
      </c>
      <c r="L16" s="68">
        <v>689000</v>
      </c>
      <c r="M16" s="68">
        <v>700100</v>
      </c>
      <c r="N16" s="68">
        <v>771222</v>
      </c>
      <c r="O16" s="68">
        <v>675688</v>
      </c>
      <c r="P16" s="68">
        <v>564355</v>
      </c>
      <c r="Q16" s="68">
        <v>546788</v>
      </c>
      <c r="Z16" s="1" t="s">
        <v>49</v>
      </c>
      <c r="AA16" s="11"/>
      <c r="AB16" s="12">
        <f>(MensData[[#This Row],[Jun-26]]-MensData[[#This Row],[May-26]])/MensData[[#This Row],[May-26]]</f>
        <v>0.25</v>
      </c>
      <c r="AC16" s="12">
        <f>(MensData[[#This Row],[Jul-26]]-MensData[[#This Row],[Jun-26]])/MensData[[#This Row],[Jun-26]]</f>
        <v>0.4</v>
      </c>
      <c r="AD16" s="12">
        <f>(MensData[[#This Row],[Aug-26]]-MensData[[#This Row],[Jul-26]])/MensData[[#This Row],[Jul-26]]</f>
        <v>-0.67571428571428571</v>
      </c>
      <c r="AE16" s="12">
        <f>(MensData[[#This Row],[Sep-26]]-MensData[[#This Row],[Aug-26]])/MensData[[#This Row],[Aug-26]]</f>
        <v>-0.47797356828193832</v>
      </c>
      <c r="AF16" s="12">
        <f>(MensData[[#This Row],[Oct-26]]-MensData[[#This Row],[Sep-26]])/MensData[[#This Row],[Sep-26]]</f>
        <v>-0.79746835443037978</v>
      </c>
      <c r="AG16" s="12">
        <f>(MensData[[#This Row],[Nov-26]]-MensData[[#This Row],[Oct-26]])/MensData[[#This Row],[Oct-26]]</f>
        <v>4.020833333333333</v>
      </c>
      <c r="AH16" s="12">
        <f>(MensData[[#This Row],[Dec-26]]-MensData[[#This Row],[Nov-26]])/MensData[[#This Row],[Nov-26]]</f>
        <v>1.0165975103734439</v>
      </c>
      <c r="AI16" s="12">
        <f>(MensData[[#This Row],[Jan-27]]-MensData[[#This Row],[Dec-26]])/MensData[[#This Row],[Dec-26]]</f>
        <v>0.41769547325102879</v>
      </c>
      <c r="AJ16" s="12">
        <f>(MensData[[#This Row],[Feb-27]]-MensData[[#This Row],[Jan-27]])/MensData[[#This Row],[Jan-27]]</f>
        <v>1.6110304789550074E-2</v>
      </c>
      <c r="AK16" s="12">
        <f>(MensData[[#This Row],[Mar-27]]-MensData[[#This Row],[Feb-27]])/MensData[[#This Row],[Feb-27]]</f>
        <v>0.10158834452221112</v>
      </c>
      <c r="AL16" s="12">
        <f>(MensData[[#This Row],[Apr-27]]-MensData[[#This Row],[Mar-27]])/MensData[[#This Row],[Mar-27]]</f>
        <v>-0.12387354095189193</v>
      </c>
      <c r="AM16" s="12">
        <f>(MensData[[#This Row],[May-27]]-MensData[[#This Row],[Apr-27]])/MensData[[#This Row],[Apr-27]]</f>
        <v>-0.16476983459821692</v>
      </c>
      <c r="AN16" s="12">
        <f>(MensData[[#This Row],[Jun-27]]-MensData[[#This Row],[May-27]])/MensData[[#This Row],[May-27]]</f>
        <v>-3.1127570412240523E-2</v>
      </c>
    </row>
    <row r="17" spans="3:40">
      <c r="C17" s="72" t="s">
        <v>178</v>
      </c>
      <c r="D17" s="68">
        <v>51333</v>
      </c>
      <c r="E17" s="68">
        <v>53000</v>
      </c>
      <c r="F17" s="68">
        <v>76000</v>
      </c>
      <c r="G17" s="68">
        <v>9500</v>
      </c>
      <c r="H17" s="68">
        <v>6600</v>
      </c>
      <c r="I17" s="68">
        <v>2129</v>
      </c>
      <c r="J17" s="68">
        <v>6200</v>
      </c>
      <c r="K17" s="68">
        <v>7800</v>
      </c>
      <c r="L17" s="68">
        <v>14000</v>
      </c>
      <c r="M17" s="68">
        <v>6766</v>
      </c>
      <c r="N17" s="68">
        <v>7890</v>
      </c>
      <c r="O17" s="68">
        <v>7689</v>
      </c>
      <c r="P17" s="68">
        <v>5467</v>
      </c>
      <c r="Q17" s="68">
        <v>6578</v>
      </c>
      <c r="Z17" s="1" t="s">
        <v>178</v>
      </c>
      <c r="AA17" s="11"/>
      <c r="AB17" s="12">
        <f>(MensData[[#This Row],[Jun-26]]-MensData[[#This Row],[May-26]])/MensData[[#This Row],[May-26]]</f>
        <v>3.2474236845693803E-2</v>
      </c>
      <c r="AC17" s="12">
        <f>(MensData[[#This Row],[Jul-26]]-MensData[[#This Row],[Jun-26]])/MensData[[#This Row],[Jun-26]]</f>
        <v>0.43396226415094341</v>
      </c>
      <c r="AD17" s="12">
        <f>(MensData[[#This Row],[Aug-26]]-MensData[[#This Row],[Jul-26]])/MensData[[#This Row],[Jul-26]]</f>
        <v>-0.875</v>
      </c>
      <c r="AE17" s="12">
        <f>(MensData[[#This Row],[Sep-26]]-MensData[[#This Row],[Aug-26]])/MensData[[#This Row],[Aug-26]]</f>
        <v>-0.30526315789473685</v>
      </c>
      <c r="AF17" s="12">
        <f>(MensData[[#This Row],[Oct-26]]-MensData[[#This Row],[Sep-26]])/MensData[[#This Row],[Sep-26]]</f>
        <v>-0.67742424242424237</v>
      </c>
      <c r="AG17" s="12">
        <f>(MensData[[#This Row],[Nov-26]]-MensData[[#This Row],[Oct-26]])/MensData[[#This Row],[Oct-26]]</f>
        <v>1.9121653358384219</v>
      </c>
      <c r="AH17" s="12">
        <f>(MensData[[#This Row],[Dec-26]]-MensData[[#This Row],[Nov-26]])/MensData[[#This Row],[Nov-26]]</f>
        <v>0.25806451612903225</v>
      </c>
      <c r="AI17" s="12">
        <f>(MensData[[#This Row],[Jan-27]]-MensData[[#This Row],[Dec-26]])/MensData[[#This Row],[Dec-26]]</f>
        <v>0.79487179487179482</v>
      </c>
      <c r="AJ17" s="12">
        <f>(MensData[[#This Row],[Feb-27]]-MensData[[#This Row],[Jan-27]])/MensData[[#This Row],[Jan-27]]</f>
        <v>-0.51671428571428568</v>
      </c>
      <c r="AK17" s="12">
        <f>(MensData[[#This Row],[Mar-27]]-MensData[[#This Row],[Feb-27]])/MensData[[#This Row],[Feb-27]]</f>
        <v>0.16612474135382796</v>
      </c>
      <c r="AL17" s="12">
        <f>(MensData[[#This Row],[Apr-27]]-MensData[[#This Row],[Mar-27]])/MensData[[#This Row],[Mar-27]]</f>
        <v>-2.547528517110266E-2</v>
      </c>
      <c r="AM17" s="12">
        <f>(MensData[[#This Row],[May-27]]-MensData[[#This Row],[Apr-27]])/MensData[[#This Row],[Apr-27]]</f>
        <v>-0.28898426323319026</v>
      </c>
      <c r="AN17" s="12">
        <f>(MensData[[#This Row],[Jun-27]]-MensData[[#This Row],[May-27]])/MensData[[#This Row],[May-27]]</f>
        <v>0.20321931589537223</v>
      </c>
    </row>
    <row r="18" spans="3:40">
      <c r="C18" s="72" t="s">
        <v>51</v>
      </c>
      <c r="D18" s="68">
        <v>1267</v>
      </c>
      <c r="E18" s="68">
        <v>54000</v>
      </c>
      <c r="F18" s="68">
        <v>75000</v>
      </c>
      <c r="G18" s="68">
        <v>29000</v>
      </c>
      <c r="H18" s="68">
        <v>19000</v>
      </c>
      <c r="I18" s="68">
        <v>2248</v>
      </c>
      <c r="J18" s="68">
        <v>20000</v>
      </c>
      <c r="K18" s="68">
        <v>35000</v>
      </c>
      <c r="L18" s="68">
        <v>52000</v>
      </c>
      <c r="M18" s="68">
        <v>43555</v>
      </c>
      <c r="N18" s="68">
        <v>54333</v>
      </c>
      <c r="O18" s="68">
        <v>34222</v>
      </c>
      <c r="P18" s="68">
        <v>23444</v>
      </c>
      <c r="Q18" s="68">
        <v>44566</v>
      </c>
      <c r="Z18" s="1" t="s">
        <v>51</v>
      </c>
      <c r="AA18" s="11"/>
      <c r="AB18" s="12">
        <f>(MensData[[#This Row],[Jun-26]]-MensData[[#This Row],[May-26]])/MensData[[#This Row],[May-26]]</f>
        <v>41.620363062352013</v>
      </c>
      <c r="AC18" s="12">
        <f>(MensData[[#This Row],[Jul-26]]-MensData[[#This Row],[Jun-26]])/MensData[[#This Row],[Jun-26]]</f>
        <v>0.3888888888888889</v>
      </c>
      <c r="AD18" s="12">
        <f>(MensData[[#This Row],[Aug-26]]-MensData[[#This Row],[Jul-26]])/MensData[[#This Row],[Jul-26]]</f>
        <v>-0.61333333333333329</v>
      </c>
      <c r="AE18" s="12">
        <f>(MensData[[#This Row],[Sep-26]]-MensData[[#This Row],[Aug-26]])/MensData[[#This Row],[Aug-26]]</f>
        <v>-0.34482758620689657</v>
      </c>
      <c r="AF18" s="12">
        <f>(MensData[[#This Row],[Oct-26]]-MensData[[#This Row],[Sep-26]])/MensData[[#This Row],[Sep-26]]</f>
        <v>-0.88168421052631574</v>
      </c>
      <c r="AG18" s="12">
        <f>(MensData[[#This Row],[Nov-26]]-MensData[[#This Row],[Oct-26]])/MensData[[#This Row],[Oct-26]]</f>
        <v>7.8967971530249113</v>
      </c>
      <c r="AH18" s="12">
        <f>(MensData[[#This Row],[Dec-26]]-MensData[[#This Row],[Nov-26]])/MensData[[#This Row],[Nov-26]]</f>
        <v>0.75</v>
      </c>
      <c r="AI18" s="12">
        <f>(MensData[[#This Row],[Jan-27]]-MensData[[#This Row],[Dec-26]])/MensData[[#This Row],[Dec-26]]</f>
        <v>0.48571428571428571</v>
      </c>
      <c r="AJ18" s="12">
        <f>(MensData[[#This Row],[Feb-27]]-MensData[[#This Row],[Jan-27]])/MensData[[#This Row],[Jan-27]]</f>
        <v>-0.16240384615384615</v>
      </c>
      <c r="AK18" s="12">
        <f>(MensData[[#This Row],[Mar-27]]-MensData[[#This Row],[Feb-27]])/MensData[[#This Row],[Feb-27]]</f>
        <v>0.24745723797497418</v>
      </c>
      <c r="AL18" s="12">
        <f>(MensData[[#This Row],[Apr-27]]-MensData[[#This Row],[Mar-27]])/MensData[[#This Row],[Mar-27]]</f>
        <v>-0.37014337511273077</v>
      </c>
      <c r="AM18" s="12">
        <f>(MensData[[#This Row],[May-27]]-MensData[[#This Row],[Apr-27]])/MensData[[#This Row],[Apr-27]]</f>
        <v>-0.31494360352989303</v>
      </c>
      <c r="AN18" s="12">
        <f>(MensData[[#This Row],[Jun-27]]-MensData[[#This Row],[May-27]])/MensData[[#This Row],[May-27]]</f>
        <v>0.90095546835011087</v>
      </c>
    </row>
    <row r="19" spans="3:40">
      <c r="C19" s="72" t="s">
        <v>52</v>
      </c>
      <c r="D19" s="68">
        <v>158</v>
      </c>
      <c r="E19" s="68">
        <v>1248</v>
      </c>
      <c r="F19" s="68">
        <v>1400</v>
      </c>
      <c r="G19" s="68">
        <v>524</v>
      </c>
      <c r="H19" s="68">
        <v>321</v>
      </c>
      <c r="I19" s="68">
        <v>65</v>
      </c>
      <c r="J19" s="68">
        <v>333</v>
      </c>
      <c r="K19" s="68">
        <v>378</v>
      </c>
      <c r="L19" s="68">
        <v>784</v>
      </c>
      <c r="M19" s="68">
        <v>768</v>
      </c>
      <c r="N19" s="68">
        <v>657</v>
      </c>
      <c r="O19" s="68">
        <v>678</v>
      </c>
      <c r="P19" s="68">
        <v>645</v>
      </c>
      <c r="Q19" s="68">
        <v>578</v>
      </c>
      <c r="Z19" s="1" t="s">
        <v>52</v>
      </c>
      <c r="AA19" s="11"/>
      <c r="AB19" s="12">
        <f>(MensData[[#This Row],[Jun-26]]-MensData[[#This Row],[May-26]])/MensData[[#This Row],[May-26]]</f>
        <v>6.8987341772151902</v>
      </c>
      <c r="AC19" s="12">
        <f>(MensData[[#This Row],[Jul-26]]-MensData[[#This Row],[Jun-26]])/MensData[[#This Row],[Jun-26]]</f>
        <v>0.12179487179487179</v>
      </c>
      <c r="AD19" s="12">
        <f>(MensData[[#This Row],[Aug-26]]-MensData[[#This Row],[Jul-26]])/MensData[[#This Row],[Jul-26]]</f>
        <v>-0.62571428571428567</v>
      </c>
      <c r="AE19" s="12">
        <f>(MensData[[#This Row],[Sep-26]]-MensData[[#This Row],[Aug-26]])/MensData[[#This Row],[Aug-26]]</f>
        <v>-0.38740458015267176</v>
      </c>
      <c r="AF19" s="12">
        <f>(MensData[[#This Row],[Oct-26]]-MensData[[#This Row],[Sep-26]])/MensData[[#This Row],[Sep-26]]</f>
        <v>-0.79750778816199375</v>
      </c>
      <c r="AG19" s="12">
        <f>(MensData[[#This Row],[Nov-26]]-MensData[[#This Row],[Oct-26]])/MensData[[#This Row],[Oct-26]]</f>
        <v>4.1230769230769226</v>
      </c>
      <c r="AH19" s="12">
        <f>(MensData[[#This Row],[Dec-26]]-MensData[[#This Row],[Nov-26]])/MensData[[#This Row],[Nov-26]]</f>
        <v>0.13513513513513514</v>
      </c>
      <c r="AI19" s="12">
        <f>(MensData[[#This Row],[Jan-27]]-MensData[[#This Row],[Dec-26]])/MensData[[#This Row],[Dec-26]]</f>
        <v>1.0740740740740742</v>
      </c>
      <c r="AJ19" s="12">
        <f>(MensData[[#This Row],[Feb-27]]-MensData[[#This Row],[Jan-27]])/MensData[[#This Row],[Jan-27]]</f>
        <v>-2.0408163265306121E-2</v>
      </c>
      <c r="AK19" s="12">
        <f>(MensData[[#This Row],[Mar-27]]-MensData[[#This Row],[Feb-27]])/MensData[[#This Row],[Feb-27]]</f>
        <v>-0.14453125</v>
      </c>
      <c r="AL19" s="12">
        <f>(MensData[[#This Row],[Apr-27]]-MensData[[#This Row],[Mar-27]])/MensData[[#This Row],[Mar-27]]</f>
        <v>3.1963470319634701E-2</v>
      </c>
      <c r="AM19" s="12">
        <f>(MensData[[#This Row],[May-27]]-MensData[[#This Row],[Apr-27]])/MensData[[#This Row],[Apr-27]]</f>
        <v>-4.8672566371681415E-2</v>
      </c>
      <c r="AN19" s="12">
        <f>(MensData[[#This Row],[Jun-27]]-MensData[[#This Row],[May-27]])/MensData[[#This Row],[May-27]]</f>
        <v>-0.10387596899224806</v>
      </c>
    </row>
    <row r="20" spans="3:40">
      <c r="C20" s="72" t="s">
        <v>53</v>
      </c>
      <c r="D20" s="68">
        <v>36</v>
      </c>
      <c r="E20" s="68">
        <v>1819</v>
      </c>
      <c r="F20" s="68">
        <v>2000</v>
      </c>
      <c r="G20" s="68">
        <v>1400</v>
      </c>
      <c r="H20" s="68">
        <v>992</v>
      </c>
      <c r="I20" s="68">
        <v>1312</v>
      </c>
      <c r="J20" s="68">
        <v>708</v>
      </c>
      <c r="K20" s="68">
        <v>882</v>
      </c>
      <c r="L20" s="68">
        <v>2300</v>
      </c>
      <c r="M20" s="68">
        <v>996</v>
      </c>
      <c r="N20" s="68">
        <v>557</v>
      </c>
      <c r="O20" s="68">
        <v>658</v>
      </c>
      <c r="P20" s="68">
        <v>678</v>
      </c>
      <c r="Q20" s="68">
        <v>654</v>
      </c>
      <c r="Z20" s="1" t="s">
        <v>53</v>
      </c>
      <c r="AA20" s="11"/>
      <c r="AB20" s="12">
        <f>(MensData[[#This Row],[Jun-26]]-MensData[[#This Row],[May-26]])/MensData[[#This Row],[May-26]]</f>
        <v>49.527777777777779</v>
      </c>
      <c r="AC20" s="12">
        <f>(MensData[[#This Row],[Jul-26]]-MensData[[#This Row],[Jun-26]])/MensData[[#This Row],[Jun-26]]</f>
        <v>9.9505222649807587E-2</v>
      </c>
      <c r="AD20" s="12">
        <f>(MensData[[#This Row],[Aug-26]]-MensData[[#This Row],[Jul-26]])/MensData[[#This Row],[Jul-26]]</f>
        <v>-0.3</v>
      </c>
      <c r="AE20" s="12">
        <f>(MensData[[#This Row],[Sep-26]]-MensData[[#This Row],[Aug-26]])/MensData[[#This Row],[Aug-26]]</f>
        <v>-0.29142857142857143</v>
      </c>
      <c r="AF20" s="12">
        <f>(MensData[[#This Row],[Oct-26]]-MensData[[#This Row],[Sep-26]])/MensData[[#This Row],[Sep-26]]</f>
        <v>0.32258064516129031</v>
      </c>
      <c r="AG20" s="12">
        <f>(MensData[[#This Row],[Nov-26]]-MensData[[#This Row],[Oct-26]])/MensData[[#This Row],[Oct-26]]</f>
        <v>-0.46036585365853661</v>
      </c>
      <c r="AH20" s="12">
        <f>(MensData[[#This Row],[Dec-26]]-MensData[[#This Row],[Nov-26]])/MensData[[#This Row],[Nov-26]]</f>
        <v>0.24576271186440679</v>
      </c>
      <c r="AI20" s="12">
        <f>(MensData[[#This Row],[Jan-27]]-MensData[[#This Row],[Dec-26]])/MensData[[#This Row],[Dec-26]]</f>
        <v>1.6077097505668934</v>
      </c>
      <c r="AJ20" s="12">
        <f>(MensData[[#This Row],[Feb-27]]-MensData[[#This Row],[Jan-27]])/MensData[[#This Row],[Jan-27]]</f>
        <v>-0.56695652173913047</v>
      </c>
      <c r="AK20" s="12">
        <f>(MensData[[#This Row],[Mar-27]]-MensData[[#This Row],[Feb-27]])/MensData[[#This Row],[Feb-27]]</f>
        <v>-0.44076305220883533</v>
      </c>
      <c r="AL20" s="12">
        <f>(MensData[[#This Row],[Apr-27]]-MensData[[#This Row],[Mar-27]])/MensData[[#This Row],[Mar-27]]</f>
        <v>0.18132854578096949</v>
      </c>
      <c r="AM20" s="12">
        <f>(MensData[[#This Row],[May-27]]-MensData[[#This Row],[Apr-27]])/MensData[[#This Row],[Apr-27]]</f>
        <v>3.0395136778115502E-2</v>
      </c>
      <c r="AN20" s="12">
        <f>(MensData[[#This Row],[Jun-27]]-MensData[[#This Row],[May-27]])/MensData[[#This Row],[May-27]]</f>
        <v>-3.5398230088495575E-2</v>
      </c>
    </row>
    <row r="21" spans="3:40">
      <c r="C21" s="72" t="s">
        <v>54</v>
      </c>
      <c r="D21" s="68">
        <v>205000</v>
      </c>
      <c r="E21" s="68">
        <v>43234</v>
      </c>
      <c r="F21" s="68">
        <v>205000</v>
      </c>
      <c r="G21" s="68">
        <v>45000</v>
      </c>
      <c r="H21" s="68">
        <v>30000</v>
      </c>
      <c r="I21" s="68">
        <v>1312</v>
      </c>
      <c r="J21" s="68">
        <v>42000</v>
      </c>
      <c r="K21" s="68">
        <v>184000</v>
      </c>
      <c r="L21" s="68">
        <v>124000</v>
      </c>
      <c r="M21" s="68">
        <v>88777</v>
      </c>
      <c r="N21" s="68">
        <v>43565</v>
      </c>
      <c r="O21" s="68">
        <v>34333</v>
      </c>
      <c r="P21" s="68">
        <v>23454</v>
      </c>
      <c r="Q21" s="68">
        <v>45332</v>
      </c>
      <c r="Z21" s="1" t="s">
        <v>54</v>
      </c>
      <c r="AA21" s="11"/>
      <c r="AB21" s="12">
        <f>(MensData[[#This Row],[Jun-26]]-MensData[[#This Row],[May-26]])/MensData[[#This Row],[May-26]]</f>
        <v>-0.78910243902439026</v>
      </c>
      <c r="AC21" s="12">
        <f>(MensData[[#This Row],[Jul-26]]-MensData[[#This Row],[Jun-26]])/MensData[[#This Row],[Jun-26]]</f>
        <v>3.741638525234769</v>
      </c>
      <c r="AD21" s="12">
        <f>(MensData[[#This Row],[Aug-26]]-MensData[[#This Row],[Jul-26]])/MensData[[#This Row],[Jul-26]]</f>
        <v>-0.78048780487804881</v>
      </c>
      <c r="AE21" s="12">
        <f>(MensData[[#This Row],[Sep-26]]-MensData[[#This Row],[Aug-26]])/MensData[[#This Row],[Aug-26]]</f>
        <v>-0.33333333333333331</v>
      </c>
      <c r="AF21" s="12">
        <f>(MensData[[#This Row],[Oct-26]]-MensData[[#This Row],[Sep-26]])/MensData[[#This Row],[Sep-26]]</f>
        <v>-0.95626666666666671</v>
      </c>
      <c r="AG21" s="12">
        <f>(MensData[[#This Row],[Nov-26]]-MensData[[#This Row],[Oct-26]])/MensData[[#This Row],[Oct-26]]</f>
        <v>31.012195121951219</v>
      </c>
      <c r="AH21" s="12">
        <f>(MensData[[#This Row],[Dec-26]]-MensData[[#This Row],[Nov-26]])/MensData[[#This Row],[Nov-26]]</f>
        <v>3.3809523809523809</v>
      </c>
      <c r="AI21" s="12">
        <f>(MensData[[#This Row],[Jan-27]]-MensData[[#This Row],[Dec-26]])/MensData[[#This Row],[Dec-26]]</f>
        <v>-0.32608695652173914</v>
      </c>
      <c r="AJ21" s="12">
        <f>(MensData[[#This Row],[Feb-27]]-MensData[[#This Row],[Jan-27]])/MensData[[#This Row],[Jan-27]]</f>
        <v>-0.28405645161290322</v>
      </c>
      <c r="AK21" s="12">
        <f>(MensData[[#This Row],[Mar-27]]-MensData[[#This Row],[Feb-27]])/MensData[[#This Row],[Feb-27]]</f>
        <v>-0.50927605122948516</v>
      </c>
      <c r="AL21" s="12">
        <f>(MensData[[#This Row],[Apr-27]]-MensData[[#This Row],[Mar-27]])/MensData[[#This Row],[Mar-27]]</f>
        <v>-0.21191323309996557</v>
      </c>
      <c r="AM21" s="12">
        <f>(MensData[[#This Row],[May-27]]-MensData[[#This Row],[Apr-27]])/MensData[[#This Row],[Apr-27]]</f>
        <v>-0.31686715405003935</v>
      </c>
      <c r="AN21" s="12">
        <f>(MensData[[#This Row],[Jun-27]]-MensData[[#This Row],[May-27]])/MensData[[#This Row],[May-27]]</f>
        <v>0.93280463886757059</v>
      </c>
    </row>
    <row r="22" spans="3:40">
      <c r="C22" s="72" t="s">
        <v>55</v>
      </c>
      <c r="D22" s="68">
        <v>1100000</v>
      </c>
      <c r="E22" s="68">
        <v>4600000</v>
      </c>
      <c r="F22" s="68">
        <v>8100000</v>
      </c>
      <c r="G22" s="68">
        <v>8600000</v>
      </c>
      <c r="H22" s="68">
        <v>5820329</v>
      </c>
      <c r="I22" s="68">
        <v>2300000</v>
      </c>
      <c r="J22" s="68">
        <v>3100000</v>
      </c>
      <c r="K22" s="68">
        <v>4100000</v>
      </c>
      <c r="L22" s="68">
        <v>8400000</v>
      </c>
      <c r="M22" s="68">
        <v>7800657</v>
      </c>
      <c r="N22" s="68">
        <v>5675554</v>
      </c>
      <c r="O22" s="68">
        <v>4321324</v>
      </c>
      <c r="P22" s="68">
        <v>6541123</v>
      </c>
      <c r="Q22" s="68">
        <v>5987000</v>
      </c>
      <c r="Z22" s="1" t="s">
        <v>55</v>
      </c>
      <c r="AA22" s="11"/>
      <c r="AB22" s="12">
        <f>(MensData[[#This Row],[Jun-26]]-MensData[[#This Row],[May-26]])/MensData[[#This Row],[May-26]]</f>
        <v>3.1818181818181817</v>
      </c>
      <c r="AC22" s="12">
        <f>(MensData[[#This Row],[Jul-26]]-MensData[[#This Row],[Jun-26]])/MensData[[#This Row],[Jun-26]]</f>
        <v>0.76086956521739135</v>
      </c>
      <c r="AD22" s="12">
        <f>(MensData[[#This Row],[Aug-26]]-MensData[[#This Row],[Jul-26]])/MensData[[#This Row],[Jul-26]]</f>
        <v>6.1728395061728392E-2</v>
      </c>
      <c r="AE22" s="12">
        <f>(MensData[[#This Row],[Sep-26]]-MensData[[#This Row],[Aug-26]])/MensData[[#This Row],[Aug-26]]</f>
        <v>-0.3232175581395349</v>
      </c>
      <c r="AF22" s="12">
        <f>(MensData[[#This Row],[Oct-26]]-MensData[[#This Row],[Sep-26]])/MensData[[#This Row],[Sep-26]]</f>
        <v>-0.604833335022814</v>
      </c>
      <c r="AG22" s="12">
        <f>(MensData[[#This Row],[Nov-26]]-MensData[[#This Row],[Oct-26]])/MensData[[#This Row],[Oct-26]]</f>
        <v>0.34782608695652173</v>
      </c>
      <c r="AH22" s="12">
        <f>(MensData[[#This Row],[Dec-26]]-MensData[[#This Row],[Nov-26]])/MensData[[#This Row],[Nov-26]]</f>
        <v>0.32258064516129031</v>
      </c>
      <c r="AI22" s="12">
        <f>(MensData[[#This Row],[Jan-27]]-MensData[[#This Row],[Dec-26]])/MensData[[#This Row],[Dec-26]]</f>
        <v>1.0487804878048781</v>
      </c>
      <c r="AJ22" s="12">
        <f>(MensData[[#This Row],[Feb-27]]-MensData[[#This Row],[Jan-27]])/MensData[[#This Row],[Jan-27]]</f>
        <v>-7.1350357142857146E-2</v>
      </c>
      <c r="AK22" s="12">
        <f>(MensData[[#This Row],[Mar-27]]-MensData[[#This Row],[Feb-27]])/MensData[[#This Row],[Feb-27]]</f>
        <v>-0.27242615589943259</v>
      </c>
      <c r="AL22" s="12">
        <f>(MensData[[#This Row],[Apr-27]]-MensData[[#This Row],[Mar-27]])/MensData[[#This Row],[Mar-27]]</f>
        <v>-0.23860754386267843</v>
      </c>
      <c r="AM22" s="12">
        <f>(MensData[[#This Row],[May-27]]-MensData[[#This Row],[Apr-27]])/MensData[[#This Row],[Apr-27]]</f>
        <v>0.51368492619391648</v>
      </c>
      <c r="AN22" s="12">
        <f>(MensData[[#This Row],[Jun-27]]-MensData[[#This Row],[May-27]])/MensData[[#This Row],[May-27]]</f>
        <v>-8.4713741050275307E-2</v>
      </c>
    </row>
    <row r="23" spans="3:40">
      <c r="C23" s="72" t="s">
        <v>56</v>
      </c>
      <c r="D23" s="68">
        <v>43000</v>
      </c>
      <c r="E23" s="68">
        <v>116000</v>
      </c>
      <c r="F23" s="68">
        <v>169948</v>
      </c>
      <c r="G23" s="68">
        <v>208554</v>
      </c>
      <c r="H23" s="68">
        <v>119170</v>
      </c>
      <c r="I23" s="68">
        <v>30300</v>
      </c>
      <c r="J23" s="68">
        <v>62500</v>
      </c>
      <c r="K23" s="68">
        <v>82500</v>
      </c>
      <c r="L23" s="68">
        <v>195900</v>
      </c>
      <c r="M23" s="68">
        <v>77867</v>
      </c>
      <c r="N23" s="68">
        <v>66576</v>
      </c>
      <c r="O23" s="68">
        <v>66578</v>
      </c>
      <c r="P23" s="68">
        <v>65788</v>
      </c>
      <c r="Q23" s="68">
        <v>43566</v>
      </c>
      <c r="Z23" s="1" t="s">
        <v>56</v>
      </c>
      <c r="AA23" s="11"/>
      <c r="AB23" s="12">
        <f>(MensData[[#This Row],[Jun-26]]-MensData[[#This Row],[May-26]])/MensData[[#This Row],[May-26]]</f>
        <v>1.6976744186046511</v>
      </c>
      <c r="AC23" s="12">
        <f>(MensData[[#This Row],[Jul-26]]-MensData[[#This Row],[Jun-26]])/MensData[[#This Row],[Jun-26]]</f>
        <v>0.46506896551724136</v>
      </c>
      <c r="AD23" s="12">
        <f>(MensData[[#This Row],[Aug-26]]-MensData[[#This Row],[Jul-26]])/MensData[[#This Row],[Jul-26]]</f>
        <v>0.2271636029844423</v>
      </c>
      <c r="AE23" s="12">
        <f>(MensData[[#This Row],[Sep-26]]-MensData[[#This Row],[Aug-26]])/MensData[[#This Row],[Aug-26]]</f>
        <v>-0.42858923827881507</v>
      </c>
      <c r="AF23" s="12">
        <f>(MensData[[#This Row],[Oct-26]]-MensData[[#This Row],[Sep-26]])/MensData[[#This Row],[Sep-26]]</f>
        <v>-0.74574137786355621</v>
      </c>
      <c r="AG23" s="12">
        <f>(MensData[[#This Row],[Nov-26]]-MensData[[#This Row],[Oct-26]])/MensData[[#This Row],[Oct-26]]</f>
        <v>1.0627062706270627</v>
      </c>
      <c r="AH23" s="12">
        <f>(MensData[[#This Row],[Dec-26]]-MensData[[#This Row],[Nov-26]])/MensData[[#This Row],[Nov-26]]</f>
        <v>0.32</v>
      </c>
      <c r="AI23" s="12">
        <f>(MensData[[#This Row],[Jan-27]]-MensData[[#This Row],[Dec-26]])/MensData[[#This Row],[Dec-26]]</f>
        <v>1.3745454545454545</v>
      </c>
      <c r="AJ23" s="12">
        <f>(MensData[[#This Row],[Feb-27]]-MensData[[#This Row],[Jan-27]])/MensData[[#This Row],[Jan-27]]</f>
        <v>-0.60251659009698821</v>
      </c>
      <c r="AK23" s="12">
        <f>(MensData[[#This Row],[Mar-27]]-MensData[[#This Row],[Feb-27]])/MensData[[#This Row],[Feb-27]]</f>
        <v>-0.14500366008707155</v>
      </c>
      <c r="AL23" s="12">
        <f>(MensData[[#This Row],[Apr-27]]-MensData[[#This Row],[Mar-27]])/MensData[[#This Row],[Mar-27]]</f>
        <v>3.0040855563566449E-5</v>
      </c>
      <c r="AM23" s="12">
        <f>(MensData[[#This Row],[May-27]]-MensData[[#This Row],[Apr-27]])/MensData[[#This Row],[Apr-27]]</f>
        <v>-1.1865781489380877E-2</v>
      </c>
      <c r="AN23" s="12">
        <f>(MensData[[#This Row],[Jun-27]]-MensData[[#This Row],[May-27]])/MensData[[#This Row],[May-27]]</f>
        <v>-0.33778196631604546</v>
      </c>
    </row>
    <row r="24" spans="3:40">
      <c r="C24" s="72" t="s">
        <v>57</v>
      </c>
      <c r="D24" s="68">
        <v>999</v>
      </c>
      <c r="E24" s="68">
        <v>1700</v>
      </c>
      <c r="F24" s="68">
        <v>1944</v>
      </c>
      <c r="G24" s="68">
        <v>2305</v>
      </c>
      <c r="H24" s="68">
        <v>1518</v>
      </c>
      <c r="I24" s="68">
        <v>1043</v>
      </c>
      <c r="J24" s="68">
        <v>1271</v>
      </c>
      <c r="K24" s="68">
        <v>1400</v>
      </c>
      <c r="L24" s="68">
        <v>2100</v>
      </c>
      <c r="M24" s="68">
        <v>2122</v>
      </c>
      <c r="N24" s="68">
        <v>1234</v>
      </c>
      <c r="O24" s="68">
        <v>1222</v>
      </c>
      <c r="P24" s="68">
        <v>987</v>
      </c>
      <c r="Q24" s="68">
        <v>1909</v>
      </c>
      <c r="Z24" s="1" t="s">
        <v>57</v>
      </c>
      <c r="AA24" s="11"/>
      <c r="AB24" s="12">
        <f>(MensData[[#This Row],[Jun-26]]-MensData[[#This Row],[May-26]])/MensData[[#This Row],[May-26]]</f>
        <v>0.70170170170170165</v>
      </c>
      <c r="AC24" s="12">
        <f>(MensData[[#This Row],[Jul-26]]-MensData[[#This Row],[Jun-26]])/MensData[[#This Row],[Jun-26]]</f>
        <v>0.14352941176470588</v>
      </c>
      <c r="AD24" s="12">
        <f>(MensData[[#This Row],[Aug-26]]-MensData[[#This Row],[Jul-26]])/MensData[[#This Row],[Jul-26]]</f>
        <v>0.18569958847736626</v>
      </c>
      <c r="AE24" s="12">
        <f>(MensData[[#This Row],[Sep-26]]-MensData[[#This Row],[Aug-26]])/MensData[[#This Row],[Aug-26]]</f>
        <v>-0.34143167028199567</v>
      </c>
      <c r="AF24" s="12">
        <f>(MensData[[#This Row],[Oct-26]]-MensData[[#This Row],[Sep-26]])/MensData[[#This Row],[Sep-26]]</f>
        <v>-0.31291172595520422</v>
      </c>
      <c r="AG24" s="12">
        <f>(MensData[[#This Row],[Nov-26]]-MensData[[#This Row],[Oct-26]])/MensData[[#This Row],[Oct-26]]</f>
        <v>0.21860019175455417</v>
      </c>
      <c r="AH24" s="12">
        <f>(MensData[[#This Row],[Dec-26]]-MensData[[#This Row],[Nov-26]])/MensData[[#This Row],[Nov-26]]</f>
        <v>0.10149488591660111</v>
      </c>
      <c r="AI24" s="12">
        <f>(MensData[[#This Row],[Jan-27]]-MensData[[#This Row],[Dec-26]])/MensData[[#This Row],[Dec-26]]</f>
        <v>0.5</v>
      </c>
      <c r="AJ24" s="12">
        <f>(MensData[[#This Row],[Feb-27]]-MensData[[#This Row],[Jan-27]])/MensData[[#This Row],[Jan-27]]</f>
        <v>1.0476190476190476E-2</v>
      </c>
      <c r="AK24" s="12">
        <f>(MensData[[#This Row],[Mar-27]]-MensData[[#This Row],[Feb-27]])/MensData[[#This Row],[Feb-27]]</f>
        <v>-0.41847313854853913</v>
      </c>
      <c r="AL24" s="12">
        <f>(MensData[[#This Row],[Apr-27]]-MensData[[#This Row],[Mar-27]])/MensData[[#This Row],[Mar-27]]</f>
        <v>-9.7244732576985422E-3</v>
      </c>
      <c r="AM24" s="12">
        <f>(MensData[[#This Row],[May-27]]-MensData[[#This Row],[Apr-27]])/MensData[[#This Row],[Apr-27]]</f>
        <v>-0.19230769230769232</v>
      </c>
      <c r="AN24" s="12">
        <f>(MensData[[#This Row],[Jun-27]]-MensData[[#This Row],[May-27]])/MensData[[#This Row],[May-27]]</f>
        <v>0.93414387031408308</v>
      </c>
    </row>
    <row r="25" spans="3:40">
      <c r="C25" s="72" t="s">
        <v>58</v>
      </c>
      <c r="D25" s="68">
        <v>66756</v>
      </c>
      <c r="E25" s="71">
        <v>55645</v>
      </c>
      <c r="F25" s="68">
        <v>99437</v>
      </c>
      <c r="G25" s="68">
        <v>109549</v>
      </c>
      <c r="H25" s="68">
        <v>66193</v>
      </c>
      <c r="I25" s="68">
        <v>41727</v>
      </c>
      <c r="J25" s="68">
        <v>38035</v>
      </c>
      <c r="K25" s="68">
        <v>41512</v>
      </c>
      <c r="L25" s="68">
        <v>111661</v>
      </c>
      <c r="M25" s="68">
        <v>100989</v>
      </c>
      <c r="N25" s="68">
        <v>66543</v>
      </c>
      <c r="O25" s="68">
        <v>87890</v>
      </c>
      <c r="P25" s="68">
        <v>57666</v>
      </c>
      <c r="Q25" s="68">
        <v>54675</v>
      </c>
      <c r="Z25" s="1" t="s">
        <v>58</v>
      </c>
      <c r="AA25" s="11"/>
      <c r="AB25" s="12">
        <f>(MensData[[#This Row],[Jun-26]]-MensData[[#This Row],[May-26]])/MensData[[#This Row],[May-26]]</f>
        <v>-0.16644196776319731</v>
      </c>
      <c r="AC25" s="12">
        <f>(MensData[[#This Row],[Jul-26]]-MensData[[#This Row],[Jun-26]])/MensData[[#This Row],[Jun-26]]</f>
        <v>0.7869889477940516</v>
      </c>
      <c r="AD25" s="12">
        <f>(MensData[[#This Row],[Aug-26]]-MensData[[#This Row],[Jul-26]])/MensData[[#This Row],[Jul-26]]</f>
        <v>0.1016925289379205</v>
      </c>
      <c r="AE25" s="12">
        <f>(MensData[[#This Row],[Sep-26]]-MensData[[#This Row],[Aug-26]])/MensData[[#This Row],[Aug-26]]</f>
        <v>-0.39576810377091531</v>
      </c>
      <c r="AF25" s="12">
        <f>(MensData[[#This Row],[Oct-26]]-MensData[[#This Row],[Sep-26]])/MensData[[#This Row],[Sep-26]]</f>
        <v>-0.3696161225507229</v>
      </c>
      <c r="AG25" s="12">
        <f>(MensData[[#This Row],[Nov-26]]-MensData[[#This Row],[Oct-26]])/MensData[[#This Row],[Oct-26]]</f>
        <v>-8.8479881132120686E-2</v>
      </c>
      <c r="AH25" s="12">
        <f>(MensData[[#This Row],[Dec-26]]-MensData[[#This Row],[Nov-26]])/MensData[[#This Row],[Nov-26]]</f>
        <v>9.1415801235703961E-2</v>
      </c>
      <c r="AI25" s="12">
        <f>(MensData[[#This Row],[Jan-27]]-MensData[[#This Row],[Dec-26]])/MensData[[#This Row],[Dec-26]]</f>
        <v>1.6898487184428599</v>
      </c>
      <c r="AJ25" s="12">
        <f>(MensData[[#This Row],[Feb-27]]-MensData[[#This Row],[Jan-27]])/MensData[[#This Row],[Jan-27]]</f>
        <v>-9.5574999328324126E-2</v>
      </c>
      <c r="AK25" s="12">
        <f>(MensData[[#This Row],[Mar-27]]-MensData[[#This Row],[Feb-27]])/MensData[[#This Row],[Feb-27]]</f>
        <v>-0.34108665300181207</v>
      </c>
      <c r="AL25" s="12">
        <f>(MensData[[#This Row],[Apr-27]]-MensData[[#This Row],[Mar-27]])/MensData[[#This Row],[Mar-27]]</f>
        <v>0.32080008415610961</v>
      </c>
      <c r="AM25" s="12">
        <f>(MensData[[#This Row],[May-27]]-MensData[[#This Row],[Apr-27]])/MensData[[#This Row],[Apr-27]]</f>
        <v>-0.34388440095574013</v>
      </c>
      <c r="AN25" s="12">
        <f>(MensData[[#This Row],[Jun-27]]-MensData[[#This Row],[May-27]])/MensData[[#This Row],[May-27]]</f>
        <v>-5.1867651649152011E-2</v>
      </c>
    </row>
    <row r="26" spans="3:40">
      <c r="C26" s="72" t="s">
        <v>59</v>
      </c>
      <c r="D26" s="68">
        <v>17600</v>
      </c>
      <c r="E26" s="68">
        <v>32400</v>
      </c>
      <c r="F26" s="68">
        <v>17000</v>
      </c>
      <c r="G26" s="68">
        <v>22400</v>
      </c>
      <c r="H26" s="68">
        <v>15600</v>
      </c>
      <c r="I26" s="68">
        <v>5199</v>
      </c>
      <c r="J26" s="68">
        <v>4745</v>
      </c>
      <c r="K26" s="68">
        <v>5639</v>
      </c>
      <c r="L26" s="68">
        <v>16500</v>
      </c>
      <c r="M26" s="68">
        <v>4354</v>
      </c>
      <c r="N26" s="68">
        <v>3243</v>
      </c>
      <c r="O26" s="68">
        <v>3453</v>
      </c>
      <c r="P26" s="68">
        <v>5555</v>
      </c>
      <c r="Q26" s="68">
        <v>4365</v>
      </c>
      <c r="Z26" s="1" t="s">
        <v>59</v>
      </c>
      <c r="AA26" s="11"/>
      <c r="AB26" s="12">
        <f>(MensData[[#This Row],[Jun-26]]-MensData[[#This Row],[May-26]])/MensData[[#This Row],[May-26]]</f>
        <v>0.84090909090909094</v>
      </c>
      <c r="AC26" s="12">
        <f>(MensData[[#This Row],[Jul-26]]-MensData[[#This Row],[Jun-26]])/MensData[[#This Row],[Jun-26]]</f>
        <v>-0.47530864197530864</v>
      </c>
      <c r="AD26" s="12">
        <f>(MensData[[#This Row],[Aug-26]]-MensData[[#This Row],[Jul-26]])/MensData[[#This Row],[Jul-26]]</f>
        <v>0.31764705882352939</v>
      </c>
      <c r="AE26" s="12">
        <f>(MensData[[#This Row],[Sep-26]]-MensData[[#This Row],[Aug-26]])/MensData[[#This Row],[Aug-26]]</f>
        <v>-0.30357142857142855</v>
      </c>
      <c r="AF26" s="12">
        <f>(MensData[[#This Row],[Oct-26]]-MensData[[#This Row],[Sep-26]])/MensData[[#This Row],[Sep-26]]</f>
        <v>-0.66673076923076924</v>
      </c>
      <c r="AG26" s="12">
        <f>(MensData[[#This Row],[Nov-26]]-MensData[[#This Row],[Oct-26]])/MensData[[#This Row],[Oct-26]]</f>
        <v>-8.7324485477976541E-2</v>
      </c>
      <c r="AH26" s="12">
        <f>(MensData[[#This Row],[Dec-26]]-MensData[[#This Row],[Nov-26]])/MensData[[#This Row],[Nov-26]]</f>
        <v>0.18840885142255004</v>
      </c>
      <c r="AI26" s="12">
        <f>(MensData[[#This Row],[Jan-27]]-MensData[[#This Row],[Dec-26]])/MensData[[#This Row],[Dec-26]]</f>
        <v>1.9260507182124491</v>
      </c>
      <c r="AJ26" s="12">
        <f>(MensData[[#This Row],[Feb-27]]-MensData[[#This Row],[Jan-27]])/MensData[[#This Row],[Jan-27]]</f>
        <v>-0.73612121212121218</v>
      </c>
      <c r="AK26" s="12">
        <f>(MensData[[#This Row],[Mar-27]]-MensData[[#This Row],[Feb-27]])/MensData[[#This Row],[Feb-27]]</f>
        <v>-0.25516766192007351</v>
      </c>
      <c r="AL26" s="12">
        <f>(MensData[[#This Row],[Apr-27]]-MensData[[#This Row],[Mar-27]])/MensData[[#This Row],[Mar-27]]</f>
        <v>6.475485661424607E-2</v>
      </c>
      <c r="AM26" s="12">
        <f>(MensData[[#This Row],[May-27]]-MensData[[#This Row],[Apr-27]])/MensData[[#This Row],[Apr-27]]</f>
        <v>0.60874601795540106</v>
      </c>
      <c r="AN26" s="12">
        <f>(MensData[[#This Row],[Jun-27]]-MensData[[#This Row],[May-27]])/MensData[[#This Row],[May-27]]</f>
        <v>-0.21422142214221424</v>
      </c>
    </row>
    <row r="27" spans="3:40">
      <c r="C27" s="72" t="s">
        <v>60</v>
      </c>
      <c r="D27" s="68">
        <v>139</v>
      </c>
      <c r="E27" s="68">
        <v>348</v>
      </c>
      <c r="F27" s="68">
        <v>611</v>
      </c>
      <c r="G27" s="68">
        <v>928</v>
      </c>
      <c r="H27" s="68">
        <v>660</v>
      </c>
      <c r="I27" s="68">
        <v>236</v>
      </c>
      <c r="J27" s="68">
        <v>329</v>
      </c>
      <c r="K27" s="68">
        <v>388</v>
      </c>
      <c r="L27" s="68">
        <v>623</v>
      </c>
      <c r="M27" s="68">
        <v>343</v>
      </c>
      <c r="N27" s="68">
        <v>454</v>
      </c>
      <c r="O27" s="68">
        <v>576</v>
      </c>
      <c r="P27" s="68">
        <v>538</v>
      </c>
      <c r="Q27" s="68">
        <v>527</v>
      </c>
      <c r="Z27" s="1" t="s">
        <v>60</v>
      </c>
      <c r="AA27" s="11"/>
      <c r="AB27" s="12">
        <f>(MensData[[#This Row],[Jun-26]]-MensData[[#This Row],[May-26]])/MensData[[#This Row],[May-26]]</f>
        <v>1.5035971223021583</v>
      </c>
      <c r="AC27" s="12">
        <f>(MensData[[#This Row],[Jul-26]]-MensData[[#This Row],[Jun-26]])/MensData[[#This Row],[Jun-26]]</f>
        <v>0.75574712643678166</v>
      </c>
      <c r="AD27" s="12">
        <f>(MensData[[#This Row],[Aug-26]]-MensData[[#This Row],[Jul-26]])/MensData[[#This Row],[Jul-26]]</f>
        <v>0.51882160392798693</v>
      </c>
      <c r="AE27" s="12">
        <f>(MensData[[#This Row],[Sep-26]]-MensData[[#This Row],[Aug-26]])/MensData[[#This Row],[Aug-26]]</f>
        <v>-0.28879310344827586</v>
      </c>
      <c r="AF27" s="12">
        <f>(MensData[[#This Row],[Oct-26]]-MensData[[#This Row],[Sep-26]])/MensData[[#This Row],[Sep-26]]</f>
        <v>-0.64242424242424245</v>
      </c>
      <c r="AG27" s="12">
        <f>(MensData[[#This Row],[Nov-26]]-MensData[[#This Row],[Oct-26]])/MensData[[#This Row],[Oct-26]]</f>
        <v>0.3940677966101695</v>
      </c>
      <c r="AH27" s="12">
        <f>(MensData[[#This Row],[Dec-26]]-MensData[[#This Row],[Nov-26]])/MensData[[#This Row],[Nov-26]]</f>
        <v>0.17933130699088146</v>
      </c>
      <c r="AI27" s="12">
        <f>(MensData[[#This Row],[Jan-27]]-MensData[[#This Row],[Dec-26]])/MensData[[#This Row],[Dec-26]]</f>
        <v>0.60567010309278346</v>
      </c>
      <c r="AJ27" s="12">
        <f>(MensData[[#This Row],[Feb-27]]-MensData[[#This Row],[Jan-27]])/MensData[[#This Row],[Jan-27]]</f>
        <v>-0.449438202247191</v>
      </c>
      <c r="AK27" s="12">
        <f>(MensData[[#This Row],[Mar-27]]-MensData[[#This Row],[Feb-27]])/MensData[[#This Row],[Feb-27]]</f>
        <v>0.32361516034985421</v>
      </c>
      <c r="AL27" s="12">
        <f>(MensData[[#This Row],[Apr-27]]-MensData[[#This Row],[Mar-27]])/MensData[[#This Row],[Mar-27]]</f>
        <v>0.2687224669603524</v>
      </c>
      <c r="AM27" s="12">
        <f>(MensData[[#This Row],[May-27]]-MensData[[#This Row],[Apr-27]])/MensData[[#This Row],[Apr-27]]</f>
        <v>-6.5972222222222224E-2</v>
      </c>
      <c r="AN27" s="12">
        <f>(MensData[[#This Row],[Jun-27]]-MensData[[#This Row],[May-27]])/MensData[[#This Row],[May-27]]</f>
        <v>-2.0446096654275093E-2</v>
      </c>
    </row>
    <row r="28" spans="3:40">
      <c r="C28" s="72" t="s">
        <v>61</v>
      </c>
      <c r="D28" s="68">
        <v>1070000</v>
      </c>
      <c r="E28" s="68">
        <v>2700000</v>
      </c>
      <c r="F28" s="68">
        <v>4400000</v>
      </c>
      <c r="G28" s="68">
        <v>4300000</v>
      </c>
      <c r="H28" s="68">
        <v>5000000</v>
      </c>
      <c r="I28" s="68">
        <v>3200000</v>
      </c>
      <c r="J28" s="68">
        <v>3600000</v>
      </c>
      <c r="K28" s="68">
        <v>3500000</v>
      </c>
      <c r="L28" s="68">
        <v>6700000</v>
      </c>
      <c r="M28" s="68">
        <v>6545768</v>
      </c>
      <c r="N28" s="68">
        <v>5454677</v>
      </c>
      <c r="O28" s="68">
        <v>3232111</v>
      </c>
      <c r="P28" s="68">
        <v>6500000</v>
      </c>
      <c r="Q28" s="68">
        <v>5444333</v>
      </c>
      <c r="Z28" s="1" t="s">
        <v>61</v>
      </c>
      <c r="AA28" s="11"/>
      <c r="AB28" s="12">
        <f>(MensData[[#This Row],[Jun-26]]-MensData[[#This Row],[May-26]])/MensData[[#This Row],[May-26]]</f>
        <v>1.5233644859813085</v>
      </c>
      <c r="AC28" s="12">
        <f>(MensData[[#This Row],[Jul-26]]-MensData[[#This Row],[Jun-26]])/MensData[[#This Row],[Jun-26]]</f>
        <v>0.62962962962962965</v>
      </c>
      <c r="AD28" s="12">
        <f>(MensData[[#This Row],[Aug-26]]-MensData[[#This Row],[Jul-26]])/MensData[[#This Row],[Jul-26]]</f>
        <v>-2.2727272727272728E-2</v>
      </c>
      <c r="AE28" s="12">
        <f>(MensData[[#This Row],[Sep-26]]-MensData[[#This Row],[Aug-26]])/MensData[[#This Row],[Aug-26]]</f>
        <v>0.16279069767441862</v>
      </c>
      <c r="AF28" s="12">
        <f>(MensData[[#This Row],[Oct-26]]-MensData[[#This Row],[Sep-26]])/MensData[[#This Row],[Sep-26]]</f>
        <v>-0.36</v>
      </c>
      <c r="AG28" s="12">
        <f>(MensData[[#This Row],[Nov-26]]-MensData[[#This Row],[Oct-26]])/MensData[[#This Row],[Oct-26]]</f>
        <v>0.125</v>
      </c>
      <c r="AH28" s="12">
        <f>(MensData[[#This Row],[Dec-26]]-MensData[[#This Row],[Nov-26]])/MensData[[#This Row],[Nov-26]]</f>
        <v>-2.7777777777777776E-2</v>
      </c>
      <c r="AI28" s="12">
        <f>(MensData[[#This Row],[Jan-27]]-MensData[[#This Row],[Dec-26]])/MensData[[#This Row],[Dec-26]]</f>
        <v>0.91428571428571426</v>
      </c>
      <c r="AJ28" s="12">
        <f>(MensData[[#This Row],[Feb-27]]-MensData[[#This Row],[Jan-27]])/MensData[[#This Row],[Jan-27]]</f>
        <v>-2.3019701492537313E-2</v>
      </c>
      <c r="AK28" s="12">
        <f>(MensData[[#This Row],[Mar-27]]-MensData[[#This Row],[Feb-27]])/MensData[[#This Row],[Feb-27]]</f>
        <v>-0.16668647590320954</v>
      </c>
      <c r="AL28" s="12">
        <f>(MensData[[#This Row],[Apr-27]]-MensData[[#This Row],[Mar-27]])/MensData[[#This Row],[Mar-27]]</f>
        <v>-0.40746060674170076</v>
      </c>
      <c r="AM28" s="12">
        <f>(MensData[[#This Row],[May-27]]-MensData[[#This Row],[Apr-27]])/MensData[[#This Row],[Apr-27]]</f>
        <v>1.0110695455694436</v>
      </c>
      <c r="AN28" s="12">
        <f>(MensData[[#This Row],[Jun-27]]-MensData[[#This Row],[May-27]])/MensData[[#This Row],[May-27]]</f>
        <v>-0.16241030769230769</v>
      </c>
    </row>
    <row r="29" spans="3:40">
      <c r="C29" s="72" t="s">
        <v>62</v>
      </c>
      <c r="D29" s="68">
        <v>271200</v>
      </c>
      <c r="E29" s="68">
        <v>286700</v>
      </c>
      <c r="F29" s="68">
        <v>396200</v>
      </c>
      <c r="G29" s="68">
        <v>341100</v>
      </c>
      <c r="H29" s="68">
        <v>430000</v>
      </c>
      <c r="I29" s="68">
        <v>257100</v>
      </c>
      <c r="J29" s="68">
        <v>464400</v>
      </c>
      <c r="K29" s="68">
        <v>382132</v>
      </c>
      <c r="L29" s="68">
        <v>590262</v>
      </c>
      <c r="M29" s="68">
        <v>324356</v>
      </c>
      <c r="N29" s="68">
        <v>657444</v>
      </c>
      <c r="O29" s="68">
        <v>456444</v>
      </c>
      <c r="P29" s="68">
        <v>756444</v>
      </c>
      <c r="Q29" s="68">
        <v>546555</v>
      </c>
      <c r="Z29" s="1" t="s">
        <v>62</v>
      </c>
      <c r="AA29" s="11"/>
      <c r="AB29" s="12">
        <f>(MensData[[#This Row],[Jun-26]]-MensData[[#This Row],[May-26]])/MensData[[#This Row],[May-26]]</f>
        <v>5.7153392330383482E-2</v>
      </c>
      <c r="AC29" s="12">
        <f>(MensData[[#This Row],[Jul-26]]-MensData[[#This Row],[Jun-26]])/MensData[[#This Row],[Jun-26]]</f>
        <v>0.38193233344959887</v>
      </c>
      <c r="AD29" s="12">
        <f>(MensData[[#This Row],[Aug-26]]-MensData[[#This Row],[Jul-26]])/MensData[[#This Row],[Jul-26]]</f>
        <v>-0.13907117617364967</v>
      </c>
      <c r="AE29" s="12">
        <f>(MensData[[#This Row],[Sep-26]]-MensData[[#This Row],[Aug-26]])/MensData[[#This Row],[Aug-26]]</f>
        <v>0.26062738199941365</v>
      </c>
      <c r="AF29" s="12">
        <f>(MensData[[#This Row],[Oct-26]]-MensData[[#This Row],[Sep-26]])/MensData[[#This Row],[Sep-26]]</f>
        <v>-0.40209302325581397</v>
      </c>
      <c r="AG29" s="12">
        <f>(MensData[[#This Row],[Nov-26]]-MensData[[#This Row],[Oct-26]])/MensData[[#This Row],[Oct-26]]</f>
        <v>0.80630105017502918</v>
      </c>
      <c r="AH29" s="12">
        <f>(MensData[[#This Row],[Dec-26]]-MensData[[#This Row],[Nov-26]])/MensData[[#This Row],[Nov-26]]</f>
        <v>-0.17714900947459086</v>
      </c>
      <c r="AI29" s="12">
        <f>(MensData[[#This Row],[Jan-27]]-MensData[[#This Row],[Dec-26]])/MensData[[#This Row],[Dec-26]]</f>
        <v>0.54465472663896242</v>
      </c>
      <c r="AJ29" s="12">
        <f>(MensData[[#This Row],[Feb-27]]-MensData[[#This Row],[Jan-27]])/MensData[[#This Row],[Jan-27]]</f>
        <v>-0.45048808834043186</v>
      </c>
      <c r="AK29" s="12">
        <f>(MensData[[#This Row],[Mar-27]]-MensData[[#This Row],[Feb-27]])/MensData[[#This Row],[Feb-27]]</f>
        <v>1.0269210373786828</v>
      </c>
      <c r="AL29" s="12">
        <f>(MensData[[#This Row],[Apr-27]]-MensData[[#This Row],[Mar-27]])/MensData[[#This Row],[Mar-27]]</f>
        <v>-0.30572946136857282</v>
      </c>
      <c r="AM29" s="12">
        <f>(MensData[[#This Row],[May-27]]-MensData[[#This Row],[Apr-27]])/MensData[[#This Row],[Apr-27]]</f>
        <v>0.65725477824223777</v>
      </c>
      <c r="AN29" s="12">
        <f>(MensData[[#This Row],[Jun-27]]-MensData[[#This Row],[May-27]])/MensData[[#This Row],[May-27]]</f>
        <v>-0.27746799498707109</v>
      </c>
    </row>
    <row r="30" spans="3:40">
      <c r="C30" s="72" t="s">
        <v>63</v>
      </c>
      <c r="D30" s="68">
        <v>14400</v>
      </c>
      <c r="E30" s="68">
        <v>27400</v>
      </c>
      <c r="F30" s="68">
        <v>48600</v>
      </c>
      <c r="G30" s="68">
        <v>58500</v>
      </c>
      <c r="H30" s="68">
        <v>500000</v>
      </c>
      <c r="I30" s="68">
        <v>20900</v>
      </c>
      <c r="J30" s="68">
        <v>34000</v>
      </c>
      <c r="K30" s="68">
        <v>34800</v>
      </c>
      <c r="L30" s="68">
        <v>56100</v>
      </c>
      <c r="M30" s="68">
        <v>44323</v>
      </c>
      <c r="N30" s="68">
        <v>42345</v>
      </c>
      <c r="O30" s="68">
        <v>53423</v>
      </c>
      <c r="P30" s="68">
        <v>61234</v>
      </c>
      <c r="Q30" s="68">
        <v>49876</v>
      </c>
      <c r="Z30" s="1" t="s">
        <v>63</v>
      </c>
      <c r="AA30" s="11"/>
      <c r="AB30" s="12">
        <f>(MensData[[#This Row],[Jun-26]]-MensData[[#This Row],[May-26]])/MensData[[#This Row],[May-26]]</f>
        <v>0.90277777777777779</v>
      </c>
      <c r="AC30" s="12">
        <f>(MensData[[#This Row],[Jul-26]]-MensData[[#This Row],[Jun-26]])/MensData[[#This Row],[Jun-26]]</f>
        <v>0.77372262773722633</v>
      </c>
      <c r="AD30" s="12">
        <f>(MensData[[#This Row],[Aug-26]]-MensData[[#This Row],[Jul-26]])/MensData[[#This Row],[Jul-26]]</f>
        <v>0.20370370370370369</v>
      </c>
      <c r="AE30" s="12">
        <f>(MensData[[#This Row],[Sep-26]]-MensData[[#This Row],[Aug-26]])/MensData[[#This Row],[Aug-26]]</f>
        <v>7.5470085470085468</v>
      </c>
      <c r="AF30" s="12">
        <f>(MensData[[#This Row],[Oct-26]]-MensData[[#This Row],[Sep-26]])/MensData[[#This Row],[Sep-26]]</f>
        <v>-0.95820000000000005</v>
      </c>
      <c r="AG30" s="12">
        <f>(MensData[[#This Row],[Nov-26]]-MensData[[#This Row],[Oct-26]])/MensData[[#This Row],[Oct-26]]</f>
        <v>0.62679425837320579</v>
      </c>
      <c r="AH30" s="12">
        <f>(MensData[[#This Row],[Dec-26]]-MensData[[#This Row],[Nov-26]])/MensData[[#This Row],[Nov-26]]</f>
        <v>2.3529411764705882E-2</v>
      </c>
      <c r="AI30" s="12">
        <f>(MensData[[#This Row],[Jan-27]]-MensData[[#This Row],[Dec-26]])/MensData[[#This Row],[Dec-26]]</f>
        <v>0.61206896551724133</v>
      </c>
      <c r="AJ30" s="12">
        <f>(MensData[[#This Row],[Feb-27]]-MensData[[#This Row],[Jan-27]])/MensData[[#This Row],[Jan-27]]</f>
        <v>-0.20992869875222817</v>
      </c>
      <c r="AK30" s="12">
        <f>(MensData[[#This Row],[Mar-27]]-MensData[[#This Row],[Feb-27]])/MensData[[#This Row],[Feb-27]]</f>
        <v>-4.4626943122081084E-2</v>
      </c>
      <c r="AL30" s="12">
        <f>(MensData[[#This Row],[Apr-27]]-MensData[[#This Row],[Mar-27]])/MensData[[#This Row],[Mar-27]]</f>
        <v>0.26161294131538554</v>
      </c>
      <c r="AM30" s="12">
        <f>(MensData[[#This Row],[May-27]]-MensData[[#This Row],[Apr-27]])/MensData[[#This Row],[Apr-27]]</f>
        <v>0.14621043370832787</v>
      </c>
      <c r="AN30" s="12">
        <f>(MensData[[#This Row],[Jun-27]]-MensData[[#This Row],[May-27]])/MensData[[#This Row],[May-27]]</f>
        <v>-0.18548518796746905</v>
      </c>
    </row>
    <row r="31" spans="3:40">
      <c r="C31" s="72" t="s">
        <v>64</v>
      </c>
      <c r="D31" s="68">
        <v>786</v>
      </c>
      <c r="E31" s="68">
        <v>530</v>
      </c>
      <c r="F31" s="68">
        <v>934</v>
      </c>
      <c r="G31" s="68">
        <v>1100</v>
      </c>
      <c r="H31" s="68">
        <v>957</v>
      </c>
      <c r="I31" s="68">
        <v>604</v>
      </c>
      <c r="J31" s="68">
        <v>699</v>
      </c>
      <c r="K31" s="68">
        <v>750</v>
      </c>
      <c r="L31" s="68">
        <v>1100</v>
      </c>
      <c r="M31" s="68">
        <v>967</v>
      </c>
      <c r="N31" s="68">
        <v>867</v>
      </c>
      <c r="O31" s="68">
        <v>768</v>
      </c>
      <c r="P31" s="68">
        <v>897</v>
      </c>
      <c r="Q31" s="68">
        <v>900</v>
      </c>
      <c r="Z31" s="1" t="s">
        <v>64</v>
      </c>
      <c r="AA31" s="11"/>
      <c r="AB31" s="12">
        <f>(MensData[[#This Row],[Jun-26]]-MensData[[#This Row],[May-26]])/MensData[[#This Row],[May-26]]</f>
        <v>-0.32569974554707382</v>
      </c>
      <c r="AC31" s="12">
        <f>(MensData[[#This Row],[Jul-26]]-MensData[[#This Row],[Jun-26]])/MensData[[#This Row],[Jun-26]]</f>
        <v>0.76226415094339628</v>
      </c>
      <c r="AD31" s="12">
        <f>(MensData[[#This Row],[Aug-26]]-MensData[[#This Row],[Jul-26]])/MensData[[#This Row],[Jul-26]]</f>
        <v>0.17773019271948609</v>
      </c>
      <c r="AE31" s="12">
        <f>(MensData[[#This Row],[Sep-26]]-MensData[[#This Row],[Aug-26]])/MensData[[#This Row],[Aug-26]]</f>
        <v>-0.13</v>
      </c>
      <c r="AF31" s="12">
        <f>(MensData[[#This Row],[Oct-26]]-MensData[[#This Row],[Sep-26]])/MensData[[#This Row],[Sep-26]]</f>
        <v>-0.36886102403343785</v>
      </c>
      <c r="AG31" s="12">
        <f>(MensData[[#This Row],[Nov-26]]-MensData[[#This Row],[Oct-26]])/MensData[[#This Row],[Oct-26]]</f>
        <v>0.15728476821192053</v>
      </c>
      <c r="AH31" s="12">
        <f>(MensData[[#This Row],[Dec-26]]-MensData[[#This Row],[Nov-26]])/MensData[[#This Row],[Nov-26]]</f>
        <v>7.2961373390557943E-2</v>
      </c>
      <c r="AI31" s="12">
        <f>(MensData[[#This Row],[Jan-27]]-MensData[[#This Row],[Dec-26]])/MensData[[#This Row],[Dec-26]]</f>
        <v>0.46666666666666667</v>
      </c>
      <c r="AJ31" s="12">
        <f>(MensData[[#This Row],[Feb-27]]-MensData[[#This Row],[Jan-27]])/MensData[[#This Row],[Jan-27]]</f>
        <v>-0.12090909090909091</v>
      </c>
      <c r="AK31" s="12">
        <f>(MensData[[#This Row],[Mar-27]]-MensData[[#This Row],[Feb-27]])/MensData[[#This Row],[Feb-27]]</f>
        <v>-0.10341261633919338</v>
      </c>
      <c r="AL31" s="12">
        <f>(MensData[[#This Row],[Apr-27]]-MensData[[#This Row],[Mar-27]])/MensData[[#This Row],[Mar-27]]</f>
        <v>-0.11418685121107267</v>
      </c>
      <c r="AM31" s="12">
        <f>(MensData[[#This Row],[May-27]]-MensData[[#This Row],[Apr-27]])/MensData[[#This Row],[Apr-27]]</f>
        <v>0.16796875</v>
      </c>
      <c r="AN31" s="12">
        <f>(MensData[[#This Row],[Jun-27]]-MensData[[#This Row],[May-27]])/MensData[[#This Row],[May-27]]</f>
        <v>3.3444816053511705E-3</v>
      </c>
    </row>
    <row r="32" spans="3:40">
      <c r="C32" s="72" t="s">
        <v>65</v>
      </c>
      <c r="D32" s="68">
        <v>66576</v>
      </c>
      <c r="E32" s="68">
        <v>54675</v>
      </c>
      <c r="F32" s="68">
        <v>70894</v>
      </c>
      <c r="G32" s="68">
        <v>67467</v>
      </c>
      <c r="H32" s="68">
        <v>97665</v>
      </c>
      <c r="I32" s="68">
        <v>84835</v>
      </c>
      <c r="J32" s="68">
        <v>67792</v>
      </c>
      <c r="K32" s="68">
        <v>39322</v>
      </c>
      <c r="L32" s="68">
        <v>72381</v>
      </c>
      <c r="M32" s="68">
        <v>55645</v>
      </c>
      <c r="N32" s="68">
        <v>49867</v>
      </c>
      <c r="O32" s="68">
        <v>63545</v>
      </c>
      <c r="P32" s="68">
        <v>55768</v>
      </c>
      <c r="Q32" s="68">
        <v>57634</v>
      </c>
      <c r="Z32" s="1" t="s">
        <v>65</v>
      </c>
      <c r="AA32" s="11"/>
      <c r="AB32" s="12">
        <f>(MensData[[#This Row],[Jun-26]]-MensData[[#This Row],[May-26]])/MensData[[#This Row],[May-26]]</f>
        <v>-0.17875811103100217</v>
      </c>
      <c r="AC32" s="12">
        <f>(MensData[[#This Row],[Jul-26]]-MensData[[#This Row],[Jun-26]])/MensData[[#This Row],[Jun-26]]</f>
        <v>0.29664380429812531</v>
      </c>
      <c r="AD32" s="12">
        <f>(MensData[[#This Row],[Aug-26]]-MensData[[#This Row],[Jul-26]])/MensData[[#This Row],[Jul-26]]</f>
        <v>-4.8339774875165741E-2</v>
      </c>
      <c r="AE32" s="12">
        <f>(MensData[[#This Row],[Sep-26]]-MensData[[#This Row],[Aug-26]])/MensData[[#This Row],[Aug-26]]</f>
        <v>0.4475966027835831</v>
      </c>
      <c r="AF32" s="12">
        <f>(MensData[[#This Row],[Oct-26]]-MensData[[#This Row],[Sep-26]])/MensData[[#This Row],[Sep-26]]</f>
        <v>-0.13136742947831875</v>
      </c>
      <c r="AG32" s="12">
        <f>(MensData[[#This Row],[Nov-26]]-MensData[[#This Row],[Oct-26]])/MensData[[#This Row],[Oct-26]]</f>
        <v>-0.20089585666293394</v>
      </c>
      <c r="AH32" s="12">
        <f>(MensData[[#This Row],[Dec-26]]-MensData[[#This Row],[Nov-26]])/MensData[[#This Row],[Nov-26]]</f>
        <v>-0.41996105735189992</v>
      </c>
      <c r="AI32" s="12">
        <f>(MensData[[#This Row],[Jan-27]]-MensData[[#This Row],[Dec-26]])/MensData[[#This Row],[Dec-26]]</f>
        <v>0.84072529372870153</v>
      </c>
      <c r="AJ32" s="12">
        <f>(MensData[[#This Row],[Feb-27]]-MensData[[#This Row],[Jan-27]])/MensData[[#This Row],[Jan-27]]</f>
        <v>-0.23122090051256544</v>
      </c>
      <c r="AK32" s="12">
        <f>(MensData[[#This Row],[Mar-27]]-MensData[[#This Row],[Feb-27]])/MensData[[#This Row],[Feb-27]]</f>
        <v>-0.10383682271542816</v>
      </c>
      <c r="AL32" s="12">
        <f>(MensData[[#This Row],[Apr-27]]-MensData[[#This Row],[Mar-27]])/MensData[[#This Row],[Mar-27]]</f>
        <v>0.27428961036356708</v>
      </c>
      <c r="AM32" s="12">
        <f>(MensData[[#This Row],[May-27]]-MensData[[#This Row],[Apr-27]])/MensData[[#This Row],[Apr-27]]</f>
        <v>-0.12238571091352585</v>
      </c>
      <c r="AN32" s="12">
        <f>(MensData[[#This Row],[Jun-27]]-MensData[[#This Row],[May-27]])/MensData[[#This Row],[May-27]]</f>
        <v>3.3460048773490174E-2</v>
      </c>
    </row>
    <row r="33" spans="3:40">
      <c r="C33" s="72" t="s">
        <v>66</v>
      </c>
      <c r="D33" s="68">
        <v>989</v>
      </c>
      <c r="E33" s="68">
        <v>1111</v>
      </c>
      <c r="F33" s="68">
        <v>1761</v>
      </c>
      <c r="G33" s="68">
        <v>1565</v>
      </c>
      <c r="H33" s="68">
        <v>2147</v>
      </c>
      <c r="I33" s="68">
        <v>1115</v>
      </c>
      <c r="J33" s="68">
        <v>1211</v>
      </c>
      <c r="K33" s="68">
        <v>602</v>
      </c>
      <c r="L33" s="68">
        <v>1340</v>
      </c>
      <c r="M33" s="68">
        <v>4354</v>
      </c>
      <c r="N33" s="68">
        <v>2321</v>
      </c>
      <c r="O33" s="68">
        <v>1987</v>
      </c>
      <c r="P33" s="68">
        <v>1232</v>
      </c>
      <c r="Q33" s="68">
        <v>890</v>
      </c>
      <c r="Z33" s="1" t="s">
        <v>66</v>
      </c>
      <c r="AA33" s="11"/>
      <c r="AB33" s="12">
        <f>(MensData[[#This Row],[Jun-26]]-MensData[[#This Row],[May-26]])/MensData[[#This Row],[May-26]]</f>
        <v>0.12335692618806876</v>
      </c>
      <c r="AC33" s="12">
        <f>(MensData[[#This Row],[Jul-26]]-MensData[[#This Row],[Jun-26]])/MensData[[#This Row],[Jun-26]]</f>
        <v>0.58505850585058505</v>
      </c>
      <c r="AD33" s="12">
        <f>(MensData[[#This Row],[Aug-26]]-MensData[[#This Row],[Jul-26]])/MensData[[#This Row],[Jul-26]]</f>
        <v>-0.11130039750141965</v>
      </c>
      <c r="AE33" s="12">
        <f>(MensData[[#This Row],[Sep-26]]-MensData[[#This Row],[Aug-26]])/MensData[[#This Row],[Aug-26]]</f>
        <v>0.37188498402555908</v>
      </c>
      <c r="AF33" s="12">
        <f>(MensData[[#This Row],[Oct-26]]-MensData[[#This Row],[Sep-26]])/MensData[[#This Row],[Sep-26]]</f>
        <v>-0.48067070330693989</v>
      </c>
      <c r="AG33" s="12">
        <f>(MensData[[#This Row],[Nov-26]]-MensData[[#This Row],[Oct-26]])/MensData[[#This Row],[Oct-26]]</f>
        <v>8.6098654708520184E-2</v>
      </c>
      <c r="AH33" s="12">
        <f>(MensData[[#This Row],[Dec-26]]-MensData[[#This Row],[Nov-26]])/MensData[[#This Row],[Nov-26]]</f>
        <v>-0.50289017341040465</v>
      </c>
      <c r="AI33" s="12">
        <f>(MensData[[#This Row],[Jan-27]]-MensData[[#This Row],[Dec-26]])/MensData[[#This Row],[Dec-26]]</f>
        <v>1.2259136212624584</v>
      </c>
      <c r="AJ33" s="12">
        <f>(MensData[[#This Row],[Feb-27]]-MensData[[#This Row],[Jan-27]])/MensData[[#This Row],[Jan-27]]</f>
        <v>2.2492537313432837</v>
      </c>
      <c r="AK33" s="12">
        <f>(MensData[[#This Row],[Mar-27]]-MensData[[#This Row],[Feb-27]])/MensData[[#This Row],[Feb-27]]</f>
        <v>-0.46692696371152964</v>
      </c>
      <c r="AL33" s="12">
        <f>(MensData[[#This Row],[Apr-27]]-MensData[[#This Row],[Mar-27]])/MensData[[#This Row],[Mar-27]]</f>
        <v>-0.14390348987505386</v>
      </c>
      <c r="AM33" s="12">
        <f>(MensData[[#This Row],[May-27]]-MensData[[#This Row],[Apr-27]])/MensData[[#This Row],[Apr-27]]</f>
        <v>-0.37996980372420736</v>
      </c>
      <c r="AN33" s="12">
        <f>(MensData[[#This Row],[Jun-27]]-MensData[[#This Row],[May-27]])/MensData[[#This Row],[May-27]]</f>
        <v>-0.27759740259740262</v>
      </c>
    </row>
    <row r="34" spans="3:40">
      <c r="C34" s="72" t="s">
        <v>67</v>
      </c>
      <c r="D34" s="68">
        <v>43</v>
      </c>
      <c r="E34" s="68">
        <v>23</v>
      </c>
      <c r="F34" s="68">
        <v>35</v>
      </c>
      <c r="G34" s="68">
        <v>42</v>
      </c>
      <c r="H34" s="68">
        <v>37</v>
      </c>
      <c r="I34" s="68">
        <v>82</v>
      </c>
      <c r="J34" s="68">
        <v>56</v>
      </c>
      <c r="K34" s="68">
        <v>73</v>
      </c>
      <c r="L34" s="68">
        <v>66</v>
      </c>
      <c r="M34" s="68">
        <v>32</v>
      </c>
      <c r="N34" s="68">
        <v>45</v>
      </c>
      <c r="O34" s="68">
        <v>64</v>
      </c>
      <c r="P34" s="68">
        <v>48</v>
      </c>
      <c r="Q34" s="68">
        <v>52</v>
      </c>
      <c r="Z34" s="1" t="s">
        <v>67</v>
      </c>
      <c r="AA34" s="11"/>
      <c r="AB34" s="12">
        <f>(MensData[[#This Row],[Jun-26]]-MensData[[#This Row],[May-26]])/MensData[[#This Row],[May-26]]</f>
        <v>-0.46511627906976744</v>
      </c>
      <c r="AC34" s="12">
        <f>(MensData[[#This Row],[Jul-26]]-MensData[[#This Row],[Jun-26]])/MensData[[#This Row],[Jun-26]]</f>
        <v>0.52173913043478259</v>
      </c>
      <c r="AD34" s="12">
        <f>(MensData[[#This Row],[Aug-26]]-MensData[[#This Row],[Jul-26]])/MensData[[#This Row],[Jul-26]]</f>
        <v>0.2</v>
      </c>
      <c r="AE34" s="12">
        <f>(MensData[[#This Row],[Sep-26]]-MensData[[#This Row],[Aug-26]])/MensData[[#This Row],[Aug-26]]</f>
        <v>-0.11904761904761904</v>
      </c>
      <c r="AF34" s="12">
        <f>(MensData[[#This Row],[Oct-26]]-MensData[[#This Row],[Sep-26]])/MensData[[#This Row],[Sep-26]]</f>
        <v>1.2162162162162162</v>
      </c>
      <c r="AG34" s="12">
        <f>(MensData[[#This Row],[Nov-26]]-MensData[[#This Row],[Oct-26]])/MensData[[#This Row],[Oct-26]]</f>
        <v>-0.31707317073170732</v>
      </c>
      <c r="AH34" s="12">
        <f>(MensData[[#This Row],[Dec-26]]-MensData[[#This Row],[Nov-26]])/MensData[[#This Row],[Nov-26]]</f>
        <v>0.30357142857142855</v>
      </c>
      <c r="AI34" s="12">
        <f>(MensData[[#This Row],[Jan-27]]-MensData[[#This Row],[Dec-26]])/MensData[[#This Row],[Dec-26]]</f>
        <v>-9.5890410958904104E-2</v>
      </c>
      <c r="AJ34" s="12">
        <f>(MensData[[#This Row],[Feb-27]]-MensData[[#This Row],[Jan-27]])/MensData[[#This Row],[Jan-27]]</f>
        <v>-0.51515151515151514</v>
      </c>
      <c r="AK34" s="12">
        <f>(MensData[[#This Row],[Mar-27]]-MensData[[#This Row],[Feb-27]])/MensData[[#This Row],[Feb-27]]</f>
        <v>0.40625</v>
      </c>
      <c r="AL34" s="12">
        <f>(MensData[[#This Row],[Apr-27]]-MensData[[#This Row],[Mar-27]])/MensData[[#This Row],[Mar-27]]</f>
        <v>0.42222222222222222</v>
      </c>
      <c r="AM34" s="12">
        <f>(MensData[[#This Row],[May-27]]-MensData[[#This Row],[Apr-27]])/MensData[[#This Row],[Apr-27]]</f>
        <v>-0.25</v>
      </c>
      <c r="AN34" s="12">
        <f>(MensData[[#This Row],[Jun-27]]-MensData[[#This Row],[May-27]])/MensData[[#This Row],[May-27]]</f>
        <v>8.3333333333333329E-2</v>
      </c>
    </row>
  </sheetData>
  <sheetProtection algorithmName="SHA-512" hashValue="FHlR7qqCOPg74zd2reGpfD2gW1kwpyXY27RQ/DccNlKAAPlQlZz831bUTLcJgK45V9eZ10k050rfWNa4wiatvA==" saltValue="G9aUSlByCRadtNjpHLcrfA==" spinCount="100000" sheet="1" selectLockedCells="1"/>
  <mergeCells count="2">
    <mergeCell ref="A3:B3"/>
    <mergeCell ref="X2:Z2"/>
  </mergeCells>
  <phoneticPr fontId="1"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33D8-DA34-471C-8A82-FA3913B5C4F9}">
  <sheetPr codeName="Sheet5">
    <tabColor theme="4"/>
  </sheetPr>
  <dimension ref="A1:CU68"/>
  <sheetViews>
    <sheetView showGridLines="0" zoomScale="55" zoomScaleNormal="80" workbookViewId="0">
      <selection activeCell="CQ14" sqref="CQ14"/>
    </sheetView>
  </sheetViews>
  <sheetFormatPr defaultColWidth="8.81640625" defaultRowHeight="16.5"/>
  <cols>
    <col min="1" max="1" width="9.7265625" style="1" bestFit="1" customWidth="1"/>
    <col min="2" max="2" width="17.6328125" style="1" bestFit="1" customWidth="1"/>
    <col min="3" max="3" width="12" style="1" bestFit="1" customWidth="1"/>
    <col min="4" max="4" width="20.08984375" style="1" bestFit="1" customWidth="1"/>
    <col min="5" max="5" width="16.6328125" style="1" customWidth="1"/>
    <col min="6" max="8" width="8.81640625" style="1"/>
    <col min="9" max="9" width="9.7265625" style="1" bestFit="1" customWidth="1"/>
    <col min="10" max="10" width="17.1796875" style="1" bestFit="1" customWidth="1"/>
    <col min="11" max="11" width="12" style="1" bestFit="1" customWidth="1"/>
    <col min="12" max="12" width="20.08984375" style="1" bestFit="1" customWidth="1"/>
    <col min="13" max="15" width="8.81640625" style="1"/>
    <col min="16" max="16" width="9.7265625" style="1" bestFit="1" customWidth="1"/>
    <col min="17" max="17" width="17.81640625" style="1" bestFit="1" customWidth="1"/>
    <col min="18" max="18" width="12" style="1" bestFit="1" customWidth="1"/>
    <col min="19" max="19" width="20.08984375" style="1" bestFit="1" customWidth="1"/>
    <col min="20" max="20" width="17.36328125" style="1" bestFit="1" customWidth="1"/>
    <col min="21" max="23" width="8.81640625" style="1"/>
    <col min="24" max="24" width="11.1796875" style="1" bestFit="1" customWidth="1"/>
    <col min="25" max="25" width="17.81640625" style="1" bestFit="1" customWidth="1"/>
    <col min="26" max="26" width="12" style="1" bestFit="1" customWidth="1"/>
    <col min="27" max="27" width="20.08984375" style="1" bestFit="1" customWidth="1"/>
    <col min="28" max="28" width="16.6328125" style="1" bestFit="1" customWidth="1"/>
    <col min="29" max="32" width="8.81640625" style="1"/>
    <col min="33" max="33" width="17.6328125" style="1" bestFit="1" customWidth="1"/>
    <col min="34" max="34" width="12" style="1" bestFit="1" customWidth="1"/>
    <col min="35" max="35" width="20.08984375" style="1" bestFit="1" customWidth="1"/>
    <col min="36" max="36" width="16.6328125" style="1" bestFit="1" customWidth="1"/>
    <col min="37" max="37" width="8.81640625" style="1" bestFit="1" customWidth="1"/>
    <col min="38" max="38" width="17.6328125" style="1" bestFit="1" customWidth="1"/>
    <col min="39" max="39" width="9.6328125" style="1" bestFit="1" customWidth="1"/>
    <col min="40" max="40" width="16.6328125" style="1" bestFit="1" customWidth="1"/>
    <col min="41" max="41" width="17.6328125" style="1" bestFit="1" customWidth="1"/>
    <col min="42" max="42" width="12" style="1" bestFit="1" customWidth="1"/>
    <col min="43" max="43" width="20.08984375" style="1" bestFit="1" customWidth="1"/>
    <col min="44" max="47" width="8.81640625" style="1"/>
    <col min="48" max="48" width="10" style="1" bestFit="1" customWidth="1"/>
    <col min="49" max="49" width="17.6328125" style="1" bestFit="1" customWidth="1"/>
    <col min="50" max="50" width="12" style="1" bestFit="1" customWidth="1"/>
    <col min="51" max="51" width="20.08984375" style="1" bestFit="1" customWidth="1"/>
    <col min="52" max="56" width="8.81640625" style="1"/>
    <col min="57" max="57" width="9.7265625" style="1" bestFit="1" customWidth="1"/>
    <col min="58" max="58" width="18" style="1" bestFit="1" customWidth="1"/>
    <col min="59" max="59" width="12" style="1" bestFit="1" customWidth="1"/>
    <col min="60" max="60" width="17.54296875" style="1" bestFit="1" customWidth="1"/>
    <col min="61" max="64" width="8.81640625" style="1"/>
    <col min="65" max="65" width="9.7265625" style="1" bestFit="1" customWidth="1"/>
    <col min="66" max="66" width="18" style="1" bestFit="1" customWidth="1"/>
    <col min="67" max="67" width="12" style="1" bestFit="1" customWidth="1"/>
    <col min="68" max="68" width="20.08984375" style="1" bestFit="1" customWidth="1"/>
    <col min="69" max="71" width="8.81640625" style="1"/>
    <col min="72" max="72" width="9.7265625" style="1" bestFit="1" customWidth="1"/>
    <col min="73" max="73" width="8.81640625" style="1"/>
    <col min="74" max="74" width="12" style="1" bestFit="1" customWidth="1"/>
    <col min="75" max="75" width="20.08984375" style="1" bestFit="1" customWidth="1"/>
    <col min="76" max="79" width="8.81640625" style="1"/>
    <col min="80" max="80" width="9.7265625" style="1" bestFit="1" customWidth="1"/>
    <col min="81" max="81" width="8.81640625" style="1"/>
    <col min="82" max="82" width="12" style="1" bestFit="1" customWidth="1"/>
    <col min="83" max="83" width="20.08984375" style="1" bestFit="1" customWidth="1"/>
    <col min="84" max="89" width="8.81640625" style="1"/>
    <col min="90" max="90" width="12" style="1" bestFit="1" customWidth="1"/>
    <col min="91" max="91" width="20.08984375" style="1" bestFit="1" customWidth="1"/>
    <col min="92" max="95" width="8.81640625" style="1"/>
    <col min="96" max="96" width="9.7265625" style="1" bestFit="1" customWidth="1"/>
    <col min="97" max="97" width="18" style="1" bestFit="1" customWidth="1"/>
    <col min="98" max="98" width="12" style="1" bestFit="1" customWidth="1"/>
    <col min="99" max="99" width="20.08984375" style="1" bestFit="1" customWidth="1"/>
    <col min="100" max="16384" width="8.81640625" style="1"/>
  </cols>
  <sheetData>
    <row r="1" spans="1:99">
      <c r="A1" s="95" t="str">
        <f>'Data Entry'!E4</f>
        <v>Jun-26</v>
      </c>
      <c r="B1" s="91"/>
      <c r="I1" s="95" t="str">
        <f>'Data Entry'!F4</f>
        <v>Jul-26</v>
      </c>
      <c r="J1" s="91"/>
      <c r="P1" s="95" t="str">
        <f>'Data Entry'!G4</f>
        <v>Aug-26</v>
      </c>
      <c r="Q1" s="91"/>
      <c r="X1" s="95" t="str">
        <f>'Data Entry'!H4</f>
        <v>Sep-26</v>
      </c>
      <c r="Y1" s="91"/>
      <c r="AF1" s="95" t="str">
        <f>'Data Entry'!I4</f>
        <v>Oct-26</v>
      </c>
      <c r="AG1" s="91"/>
      <c r="AN1" s="95" t="str">
        <f>'Data Entry'!J4</f>
        <v>Nov-26</v>
      </c>
      <c r="AO1" s="91"/>
      <c r="AV1" s="95" t="str">
        <f>'Data Entry'!K4</f>
        <v>Dec-26</v>
      </c>
      <c r="AW1" s="91"/>
      <c r="BE1" s="95" t="str">
        <f>'Data Entry'!L4</f>
        <v>Jan-27</v>
      </c>
      <c r="BF1" s="91"/>
      <c r="BM1" s="95" t="str">
        <f>'Data Entry'!M4</f>
        <v>Feb-27</v>
      </c>
      <c r="BN1" s="91"/>
      <c r="BT1" s="95" t="str">
        <f>'Data Entry'!N4</f>
        <v>Mar-27</v>
      </c>
      <c r="BU1" s="91"/>
      <c r="CB1" s="95" t="str">
        <f>'Data Entry'!O4</f>
        <v>Apr-27</v>
      </c>
      <c r="CC1" s="91"/>
      <c r="CJ1" s="95" t="str">
        <f>'Data Entry'!P4</f>
        <v>May-27</v>
      </c>
      <c r="CK1" s="91"/>
      <c r="CR1" s="95" t="str">
        <f>'Data Entry'!Q4</f>
        <v>Jun-27</v>
      </c>
      <c r="CS1" s="91"/>
    </row>
    <row r="3" spans="1:99">
      <c r="A3" s="1" t="s">
        <v>1</v>
      </c>
      <c r="B3" s="1" t="s">
        <v>2</v>
      </c>
      <c r="C3" s="1" t="s">
        <v>3</v>
      </c>
      <c r="D3" s="1" t="s">
        <v>31</v>
      </c>
      <c r="I3" s="1" t="s">
        <v>1</v>
      </c>
      <c r="J3" s="1" t="s">
        <v>2</v>
      </c>
      <c r="K3" s="1" t="s">
        <v>3</v>
      </c>
      <c r="L3" s="1" t="s">
        <v>31</v>
      </c>
      <c r="P3" s="1" t="s">
        <v>1</v>
      </c>
      <c r="Q3" s="1" t="s">
        <v>2</v>
      </c>
      <c r="R3" s="1" t="s">
        <v>3</v>
      </c>
      <c r="S3" s="1" t="s">
        <v>31</v>
      </c>
      <c r="X3" s="1" t="s">
        <v>1</v>
      </c>
      <c r="Y3" s="1" t="s">
        <v>2</v>
      </c>
      <c r="Z3" s="1" t="s">
        <v>3</v>
      </c>
      <c r="AA3" s="1" t="s">
        <v>31</v>
      </c>
      <c r="AF3" s="1" t="s">
        <v>1</v>
      </c>
      <c r="AG3" s="1" t="s">
        <v>2</v>
      </c>
      <c r="AH3" s="1" t="s">
        <v>3</v>
      </c>
      <c r="AI3" s="1" t="s">
        <v>31</v>
      </c>
      <c r="AN3" s="1" t="s">
        <v>1</v>
      </c>
      <c r="AO3" s="1" t="s">
        <v>2</v>
      </c>
      <c r="AP3" s="1" t="s">
        <v>3</v>
      </c>
      <c r="AQ3" s="1" t="s">
        <v>31</v>
      </c>
      <c r="AV3" s="1" t="s">
        <v>1</v>
      </c>
      <c r="AW3" s="1" t="s">
        <v>2</v>
      </c>
      <c r="AX3" s="1" t="s">
        <v>3</v>
      </c>
      <c r="AY3" s="1" t="s">
        <v>31</v>
      </c>
      <c r="BE3" s="1" t="s">
        <v>1</v>
      </c>
      <c r="BF3" s="1" t="s">
        <v>2</v>
      </c>
      <c r="BG3" s="1" t="s">
        <v>3</v>
      </c>
      <c r="BH3" s="1" t="s">
        <v>31</v>
      </c>
      <c r="BM3" s="1" t="s">
        <v>1</v>
      </c>
      <c r="BN3" s="1" t="s">
        <v>2</v>
      </c>
      <c r="BO3" s="1" t="s">
        <v>3</v>
      </c>
      <c r="BP3" s="1" t="s">
        <v>31</v>
      </c>
      <c r="BT3" s="1" t="s">
        <v>1</v>
      </c>
      <c r="BU3" s="1" t="s">
        <v>2</v>
      </c>
      <c r="BV3" s="1" t="s">
        <v>3</v>
      </c>
      <c r="BW3" s="1" t="s">
        <v>31</v>
      </c>
      <c r="CB3" s="1" t="s">
        <v>1</v>
      </c>
      <c r="CC3" s="1" t="s">
        <v>2</v>
      </c>
      <c r="CD3" s="1" t="s">
        <v>3</v>
      </c>
      <c r="CE3" s="1" t="s">
        <v>31</v>
      </c>
      <c r="CJ3" s="1" t="s">
        <v>1</v>
      </c>
      <c r="CK3" s="1" t="s">
        <v>2</v>
      </c>
      <c r="CL3" s="1" t="s">
        <v>3</v>
      </c>
      <c r="CM3" s="1" t="s">
        <v>31</v>
      </c>
      <c r="CR3" s="1" t="s">
        <v>1</v>
      </c>
      <c r="CS3" s="1" t="s">
        <v>2</v>
      </c>
      <c r="CT3" s="1" t="s">
        <v>3</v>
      </c>
      <c r="CU3" s="1" t="s">
        <v>31</v>
      </c>
    </row>
    <row r="4" spans="1:99">
      <c r="B4" s="1" t="s">
        <v>8</v>
      </c>
      <c r="C4" s="10">
        <f>'Data Entry'!E5</f>
        <v>233000</v>
      </c>
      <c r="D4" s="12">
        <f>'Data Entry'!AB5</f>
        <v>4.3103448275862068E-3</v>
      </c>
      <c r="J4" s="1" t="s">
        <v>8</v>
      </c>
      <c r="K4" s="10">
        <f>'Data Entry'!F5</f>
        <v>233423</v>
      </c>
      <c r="L4" s="12">
        <f>'Data Entry'!AC5</f>
        <v>1.8154506437768241E-3</v>
      </c>
      <c r="Q4" s="1" t="s">
        <v>8</v>
      </c>
      <c r="R4" s="10">
        <f>'Data Entry'!G5</f>
        <v>236781</v>
      </c>
      <c r="S4" s="12">
        <f>'Data Entry'!AD5</f>
        <v>1.4385900275465571E-2</v>
      </c>
      <c r="Y4" s="1" t="s">
        <v>8</v>
      </c>
      <c r="Z4" s="1">
        <f>'Data Entry'!H5</f>
        <v>240543</v>
      </c>
      <c r="AA4" s="12">
        <f>'Data Entry'!AE5</f>
        <v>1.588809912957543E-2</v>
      </c>
      <c r="AG4" s="1" t="s">
        <v>8</v>
      </c>
      <c r="AH4" s="10">
        <f>'Data Entry'!I5</f>
        <v>238000</v>
      </c>
      <c r="AI4" s="12">
        <f>'Data Entry'!AF5</f>
        <v>-1.0571914377055246E-2</v>
      </c>
      <c r="AO4" s="1" t="s">
        <v>8</v>
      </c>
      <c r="AP4" s="10">
        <f>'Data Entry'!J5</f>
        <v>241300</v>
      </c>
      <c r="AQ4" s="12">
        <f>'Data Entry'!AG5</f>
        <v>1.3865546218487394E-2</v>
      </c>
      <c r="AW4" s="1" t="s">
        <v>8</v>
      </c>
      <c r="AX4" s="10">
        <f>'Data Entry'!K5</f>
        <v>242000</v>
      </c>
      <c r="AY4" s="12">
        <f>'Data Entry'!AH5</f>
        <v>2.9009531703273932E-3</v>
      </c>
      <c r="BF4" s="1" t="s">
        <v>8</v>
      </c>
      <c r="BG4" s="10">
        <f>'Data Entry'!L5</f>
        <v>242222</v>
      </c>
      <c r="BH4" s="12">
        <f>'Data Entry'!AI5</f>
        <v>9.1735537190082645E-4</v>
      </c>
      <c r="BN4" s="1" t="s">
        <v>8</v>
      </c>
      <c r="BO4" s="10">
        <f>'Data Entry'!M5</f>
        <v>245654</v>
      </c>
      <c r="BP4" s="12">
        <f>'Data Entry'!AJ5</f>
        <v>1.4168820338367282E-2</v>
      </c>
      <c r="BU4" s="1" t="s">
        <v>8</v>
      </c>
      <c r="BV4" s="10">
        <f>'Data Entry'!N5</f>
        <v>246578</v>
      </c>
      <c r="BW4" s="12">
        <f>'Data Entry'!AK5</f>
        <v>3.7613879684434202E-3</v>
      </c>
      <c r="CC4" s="1" t="s">
        <v>8</v>
      </c>
      <c r="CD4" s="10">
        <f>'Data Entry'!O5</f>
        <v>247600</v>
      </c>
      <c r="CE4" s="12">
        <f>'Data Entry'!AL5</f>
        <v>4.1447331067654049E-3</v>
      </c>
      <c r="CK4" s="1" t="s">
        <v>8</v>
      </c>
      <c r="CL4" s="10">
        <f>'Data Entry'!P5</f>
        <v>247800</v>
      </c>
      <c r="CM4" s="12">
        <f>'Data Entry'!AM5</f>
        <v>8.0775444264943462E-4</v>
      </c>
      <c r="CS4" s="1" t="s">
        <v>8</v>
      </c>
      <c r="CT4" s="10">
        <f>'Data Entry'!Q5</f>
        <v>246546</v>
      </c>
      <c r="CU4" s="12">
        <f>'Data Entry'!AN5</f>
        <v>-5.0605326876513321E-3</v>
      </c>
    </row>
    <row r="5" spans="1:99">
      <c r="B5" s="1" t="s">
        <v>9</v>
      </c>
      <c r="C5" s="10">
        <f>'Data Entry'!E6</f>
        <v>6200000</v>
      </c>
      <c r="D5" s="12">
        <f>'Data Entry'!AB6</f>
        <v>0.4200641319285387</v>
      </c>
      <c r="E5" s="12"/>
      <c r="J5" s="1" t="s">
        <v>9</v>
      </c>
      <c r="K5" s="10">
        <f>'Data Entry'!F6</f>
        <v>9400000</v>
      </c>
      <c r="L5" s="12">
        <f>'Data Entry'!AC6</f>
        <v>0.5161290322580645</v>
      </c>
      <c r="Q5" s="1" t="s">
        <v>9</v>
      </c>
      <c r="R5" s="10">
        <f>'Data Entry'!G6</f>
        <v>9000000</v>
      </c>
      <c r="S5" s="12">
        <f>'Data Entry'!AD6</f>
        <v>-4.2553191489361701E-2</v>
      </c>
      <c r="Y5" s="1" t="s">
        <v>9</v>
      </c>
      <c r="Z5" s="10">
        <f>'Data Entry'!H6</f>
        <v>7500000</v>
      </c>
      <c r="AA5" s="12">
        <f>'Data Entry'!AE6</f>
        <v>-0.16666666666666666</v>
      </c>
      <c r="AG5" s="1" t="s">
        <v>9</v>
      </c>
      <c r="AH5" s="10">
        <f>'Data Entry'!I6</f>
        <v>3700000</v>
      </c>
      <c r="AI5" s="12">
        <f>'Data Entry'!AF6</f>
        <v>-0.50666666666666671</v>
      </c>
      <c r="AO5" s="1" t="s">
        <v>9</v>
      </c>
      <c r="AP5" s="10">
        <f>'Data Entry'!J6</f>
        <v>4400000</v>
      </c>
      <c r="AQ5" s="12">
        <f>'Data Entry'!AG6</f>
        <v>0.1891891891891892</v>
      </c>
      <c r="AW5" s="1" t="s">
        <v>9</v>
      </c>
      <c r="AX5" s="10">
        <f>'Data Entry'!K6</f>
        <v>3900000</v>
      </c>
      <c r="AY5" s="12">
        <f>'Data Entry'!AH6</f>
        <v>-0.11363636363636363</v>
      </c>
      <c r="BF5" s="1" t="s">
        <v>9</v>
      </c>
      <c r="BG5" s="10">
        <f>'Data Entry'!L6</f>
        <v>6543210</v>
      </c>
      <c r="BH5" s="12">
        <f>'Data Entry'!AI6</f>
        <v>0.67774615384615389</v>
      </c>
      <c r="BI5" s="12"/>
      <c r="BN5" s="1" t="s">
        <v>9</v>
      </c>
      <c r="BO5" s="10">
        <f>'Data Entry'!M6</f>
        <v>4580000</v>
      </c>
      <c r="BP5" s="12">
        <f>'Data Entry'!AJ6</f>
        <v>-0.30003774905589153</v>
      </c>
      <c r="BU5" s="1" t="s">
        <v>9</v>
      </c>
      <c r="BV5" s="10">
        <f>'Data Entry'!N6</f>
        <v>4356701</v>
      </c>
      <c r="BW5" s="12">
        <f>'Data Entry'!AK6</f>
        <v>-4.875524017467249E-2</v>
      </c>
      <c r="CC5" s="1" t="s">
        <v>9</v>
      </c>
      <c r="CD5" s="10">
        <f>'Data Entry'!O6</f>
        <v>5670002</v>
      </c>
      <c r="CE5" s="12">
        <f>'Data Entry'!AL6</f>
        <v>0.30144391364016032</v>
      </c>
      <c r="CK5" s="1" t="s">
        <v>9</v>
      </c>
      <c r="CL5" s="10">
        <f>'Data Entry'!P6</f>
        <v>5458970</v>
      </c>
      <c r="CM5" s="12">
        <f>'Data Entry'!AM6</f>
        <v>-3.7219034490640394E-2</v>
      </c>
      <c r="CS5" s="1" t="s">
        <v>9</v>
      </c>
      <c r="CT5" s="10">
        <f>'Data Entry'!Q6</f>
        <v>4325671</v>
      </c>
      <c r="CU5" s="12">
        <f>'Data Entry'!AN6</f>
        <v>-0.20760308263280436</v>
      </c>
    </row>
    <row r="6" spans="1:99">
      <c r="B6" s="1" t="s">
        <v>10</v>
      </c>
      <c r="C6" s="12">
        <f>'Data Entry'!E7</f>
        <v>4.2999999999999997E-2</v>
      </c>
      <c r="D6" s="12">
        <f>'Data Entry'!AB7</f>
        <v>0.79166666666666652</v>
      </c>
      <c r="E6" s="12"/>
      <c r="J6" s="1" t="s">
        <v>10</v>
      </c>
      <c r="K6" s="12">
        <f>'Data Entry'!F7</f>
        <v>4.3999999999999997E-2</v>
      </c>
      <c r="L6" s="12">
        <f>'Data Entry'!AC7</f>
        <v>2.3255813953488396E-2</v>
      </c>
      <c r="Q6" s="1" t="s">
        <v>10</v>
      </c>
      <c r="R6" s="12">
        <f>'Data Entry'!G7</f>
        <v>4.1000000000000002E-2</v>
      </c>
      <c r="S6" s="12">
        <f>'Data Entry'!AD7</f>
        <v>-6.8181818181818094E-2</v>
      </c>
      <c r="Y6" s="1" t="s">
        <v>10</v>
      </c>
      <c r="Z6" s="12">
        <f>'Data Entry'!H7</f>
        <v>4.1000000000000002E-2</v>
      </c>
      <c r="AA6" s="12">
        <f>'Data Entry'!AE7</f>
        <v>0</v>
      </c>
      <c r="AG6" s="1" t="s">
        <v>10</v>
      </c>
      <c r="AH6" s="12">
        <f>'Data Entry'!I7</f>
        <v>3.7999999999999999E-2</v>
      </c>
      <c r="AI6" s="12">
        <f>'Data Entry'!AF7</f>
        <v>-7.3170731707317138E-2</v>
      </c>
      <c r="AO6" s="1" t="s">
        <v>10</v>
      </c>
      <c r="AP6" s="12">
        <f>'Data Entry'!J7</f>
        <v>4.2000000000000003E-2</v>
      </c>
      <c r="AQ6" s="12">
        <f>'Data Entry'!AG7</f>
        <v>0.10526315789473693</v>
      </c>
      <c r="AW6" s="1" t="s">
        <v>10</v>
      </c>
      <c r="AX6" s="12">
        <f>'Data Entry'!K7</f>
        <v>4.5999999999999999E-2</v>
      </c>
      <c r="AY6" s="12">
        <f>'Data Entry'!AH7</f>
        <v>9.523809523809515E-2</v>
      </c>
      <c r="BF6" s="1" t="s">
        <v>10</v>
      </c>
      <c r="BG6" s="10">
        <f>'Data Entry'!L7</f>
        <v>3.9E-2</v>
      </c>
      <c r="BH6" s="12">
        <f>'Data Entry'!AI7</f>
        <v>-0.15217391304347824</v>
      </c>
      <c r="BI6" s="12"/>
      <c r="BN6" s="1" t="s">
        <v>10</v>
      </c>
      <c r="BO6" s="10">
        <f>'Data Entry'!M7</f>
        <v>2.7E-2</v>
      </c>
      <c r="BP6" s="12">
        <f>'Data Entry'!AJ7</f>
        <v>-0.30769230769230771</v>
      </c>
      <c r="BU6" s="1" t="s">
        <v>10</v>
      </c>
      <c r="BV6" s="10">
        <f>'Data Entry'!N7</f>
        <v>3.3300000000000003E-2</v>
      </c>
      <c r="BW6" s="12">
        <f>'Data Entry'!AK7</f>
        <v>0.23333333333333348</v>
      </c>
      <c r="CC6" s="1" t="s">
        <v>10</v>
      </c>
      <c r="CD6" s="10">
        <f>'Data Entry'!O7</f>
        <v>4.53E-2</v>
      </c>
      <c r="CE6" s="12">
        <f>'Data Entry'!AL7</f>
        <v>0.36036036036036023</v>
      </c>
      <c r="CK6" s="1" t="s">
        <v>10</v>
      </c>
      <c r="CL6" s="10">
        <f>'Data Entry'!P7</f>
        <v>4.3200000000000002E-2</v>
      </c>
      <c r="CM6" s="12">
        <f>'Data Entry'!AM7</f>
        <v>-4.6357615894039687E-2</v>
      </c>
      <c r="CS6" s="1" t="s">
        <v>10</v>
      </c>
      <c r="CT6" s="10">
        <f>'Data Entry'!Q7</f>
        <v>3.4500000000000003E-2</v>
      </c>
      <c r="CU6" s="12">
        <f>'Data Entry'!AN7</f>
        <v>-0.20138888888888887</v>
      </c>
    </row>
    <row r="7" spans="1:99">
      <c r="B7" s="1" t="s">
        <v>11</v>
      </c>
      <c r="C7" s="10">
        <f>'Data Entry'!E8</f>
        <v>357000</v>
      </c>
      <c r="D7" s="13">
        <f>'Data Entry'!AB8</f>
        <v>1.625</v>
      </c>
      <c r="E7" s="13"/>
      <c r="J7" s="1" t="s">
        <v>11</v>
      </c>
      <c r="K7" s="10">
        <f>'Data Entry'!F8</f>
        <v>422500</v>
      </c>
      <c r="L7" s="13">
        <f>'Data Entry'!AC8</f>
        <v>0.18347338935574228</v>
      </c>
      <c r="Q7" s="1" t="s">
        <v>11</v>
      </c>
      <c r="R7" s="10">
        <f>'Data Entry'!G8</f>
        <v>377700</v>
      </c>
      <c r="S7" s="13">
        <f>'Data Entry'!AD8</f>
        <v>-0.10603550295857989</v>
      </c>
      <c r="Y7" s="1" t="s">
        <v>11</v>
      </c>
      <c r="Z7" s="10">
        <f>'Data Entry'!H8</f>
        <v>313000</v>
      </c>
      <c r="AA7" s="13">
        <f>'Data Entry'!AE8</f>
        <v>-0.17129997352396081</v>
      </c>
      <c r="AG7" s="1" t="s">
        <v>11</v>
      </c>
      <c r="AH7" s="10">
        <f>'Data Entry'!I8</f>
        <v>134000</v>
      </c>
      <c r="AI7" s="13">
        <f>'Data Entry'!AF8</f>
        <v>-0.5718849840255591</v>
      </c>
      <c r="AO7" s="1" t="s">
        <v>11</v>
      </c>
      <c r="AP7" s="10">
        <f>'Data Entry'!J8</f>
        <v>189700</v>
      </c>
      <c r="AQ7" s="13">
        <f>'Data Entry'!AG8</f>
        <v>0.41567164179104477</v>
      </c>
      <c r="AW7" s="1" t="s">
        <v>11</v>
      </c>
      <c r="AX7" s="10">
        <f>'Data Entry'!K8</f>
        <v>183400</v>
      </c>
      <c r="AY7" s="13">
        <f>'Data Entry'!AH8</f>
        <v>-3.3210332103321034E-2</v>
      </c>
      <c r="BF7" s="1" t="s">
        <v>11</v>
      </c>
      <c r="BG7" s="10">
        <f>'Data Entry'!L8</f>
        <v>386154</v>
      </c>
      <c r="BH7" s="12">
        <f>'Data Entry'!AI8</f>
        <v>1.1055288985823337</v>
      </c>
      <c r="BI7" s="13"/>
      <c r="BN7" s="1" t="s">
        <v>11</v>
      </c>
      <c r="BO7" s="10">
        <f>'Data Entry'!M8</f>
        <v>432111</v>
      </c>
      <c r="BP7" s="12">
        <f>'Data Entry'!AJ8</f>
        <v>0.11901210397924145</v>
      </c>
      <c r="BU7" s="1" t="s">
        <v>11</v>
      </c>
      <c r="BV7" s="10">
        <f>'Data Entry'!N8</f>
        <v>422111</v>
      </c>
      <c r="BW7" s="12">
        <f>'Data Entry'!AK8</f>
        <v>-2.314220188794083E-2</v>
      </c>
      <c r="CC7" s="1" t="s">
        <v>11</v>
      </c>
      <c r="CD7" s="10">
        <f>'Data Entry'!O8</f>
        <v>234555</v>
      </c>
      <c r="CE7" s="12">
        <f>'Data Entry'!AL8</f>
        <v>-0.44432862446133836</v>
      </c>
      <c r="CK7" s="1" t="s">
        <v>11</v>
      </c>
      <c r="CL7" s="10">
        <f>'Data Entry'!P8</f>
        <v>324123</v>
      </c>
      <c r="CM7" s="12">
        <f>'Data Entry'!AM8</f>
        <v>0.38186352880987401</v>
      </c>
      <c r="CS7" s="1" t="s">
        <v>11</v>
      </c>
      <c r="CT7" s="10">
        <f>'Data Entry'!Q8</f>
        <v>326122</v>
      </c>
      <c r="CU7" s="12">
        <f>'Data Entry'!AN8</f>
        <v>6.1674117541797406E-3</v>
      </c>
    </row>
    <row r="8" spans="1:99">
      <c r="B8" s="1" t="s">
        <v>12</v>
      </c>
      <c r="C8" s="10">
        <f>'Data Entry'!E9</f>
        <v>89200</v>
      </c>
      <c r="D8" s="13">
        <f>'Data Entry'!AB9</f>
        <v>1.9932885906040267</v>
      </c>
      <c r="E8" s="13"/>
      <c r="J8" s="1" t="s">
        <v>12</v>
      </c>
      <c r="K8" s="10">
        <f>'Data Entry'!F9</f>
        <v>100600</v>
      </c>
      <c r="L8" s="13">
        <f>'Data Entry'!AC9</f>
        <v>0.12780269058295965</v>
      </c>
      <c r="Q8" s="1" t="s">
        <v>12</v>
      </c>
      <c r="R8" s="10">
        <f>'Data Entry'!G9</f>
        <v>71900</v>
      </c>
      <c r="S8" s="13">
        <f>'Data Entry'!AD9</f>
        <v>-0.28528827037773358</v>
      </c>
      <c r="Y8" s="1" t="s">
        <v>12</v>
      </c>
      <c r="Z8" s="10">
        <f>'Data Entry'!H9</f>
        <v>68100</v>
      </c>
      <c r="AA8" s="13">
        <f>'Data Entry'!AE9</f>
        <v>-5.2851182197496523E-2</v>
      </c>
      <c r="AG8" s="1" t="s">
        <v>12</v>
      </c>
      <c r="AH8" s="10">
        <f>'Data Entry'!I9</f>
        <v>34300</v>
      </c>
      <c r="AI8" s="13">
        <f>'Data Entry'!AF9</f>
        <v>-0.49632892804698975</v>
      </c>
      <c r="AO8" s="1" t="s">
        <v>12</v>
      </c>
      <c r="AP8" s="10">
        <f>'Data Entry'!J9</f>
        <v>38900</v>
      </c>
      <c r="AQ8" s="13">
        <f>'Data Entry'!AG9</f>
        <v>0.13411078717201166</v>
      </c>
      <c r="AW8" s="1" t="s">
        <v>12</v>
      </c>
      <c r="AX8" s="10">
        <f>'Data Entry'!K9</f>
        <v>33900</v>
      </c>
      <c r="AY8" s="13">
        <f>'Data Entry'!AH9</f>
        <v>-0.12853470437017994</v>
      </c>
      <c r="BF8" s="1" t="s">
        <v>12</v>
      </c>
      <c r="BG8" s="10">
        <f>'Data Entry'!L9</f>
        <v>69040</v>
      </c>
      <c r="BH8" s="12">
        <f>'Data Entry'!AI9</f>
        <v>1.0365781710914455</v>
      </c>
      <c r="BI8" s="13"/>
      <c r="BN8" s="1" t="s">
        <v>12</v>
      </c>
      <c r="BO8" s="10">
        <f>'Data Entry'!M9</f>
        <v>70123</v>
      </c>
      <c r="BP8" s="12">
        <f>'Data Entry'!AJ9</f>
        <v>1.5686558516801855E-2</v>
      </c>
      <c r="BU8" s="1" t="s">
        <v>12</v>
      </c>
      <c r="BV8" s="10">
        <f>'Data Entry'!N9</f>
        <v>67888</v>
      </c>
      <c r="BW8" s="12">
        <f>'Data Entry'!AK9</f>
        <v>-3.1872566775523012E-2</v>
      </c>
      <c r="CC8" s="1" t="s">
        <v>12</v>
      </c>
      <c r="CD8" s="10">
        <f>'Data Entry'!O9</f>
        <v>65768</v>
      </c>
      <c r="CE8" s="12">
        <f>'Data Entry'!AL9</f>
        <v>-3.1227904784350696E-2</v>
      </c>
      <c r="CK8" s="1" t="s">
        <v>12</v>
      </c>
      <c r="CL8" s="10">
        <f>'Data Entry'!P9</f>
        <v>64555</v>
      </c>
      <c r="CM8" s="12">
        <f>'Data Entry'!AM9</f>
        <v>-1.8443619997567207E-2</v>
      </c>
      <c r="CS8" s="1" t="s">
        <v>12</v>
      </c>
      <c r="CT8" s="10">
        <f>'Data Entry'!Q9</f>
        <v>55432</v>
      </c>
      <c r="CU8" s="12">
        <f>'Data Entry'!AN9</f>
        <v>-0.14132135388428471</v>
      </c>
    </row>
    <row r="9" spans="1:99">
      <c r="B9" s="1" t="s">
        <v>13</v>
      </c>
      <c r="C9" s="10">
        <f>'Data Entry'!E10</f>
        <v>2400</v>
      </c>
      <c r="D9" s="13">
        <f>'Data Entry'!AB10</f>
        <v>0.79104477611940294</v>
      </c>
      <c r="E9" s="13"/>
      <c r="J9" s="1" t="s">
        <v>13</v>
      </c>
      <c r="K9" s="10">
        <f>'Data Entry'!F10</f>
        <v>3300</v>
      </c>
      <c r="L9" s="13">
        <f>'Data Entry'!AC10</f>
        <v>0.375</v>
      </c>
      <c r="Q9" s="1" t="s">
        <v>13</v>
      </c>
      <c r="R9" s="10">
        <f>'Data Entry'!G10</f>
        <v>3900</v>
      </c>
      <c r="S9" s="13">
        <f>'Data Entry'!AD10</f>
        <v>0.18181818181818182</v>
      </c>
      <c r="Y9" s="1" t="s">
        <v>13</v>
      </c>
      <c r="Z9" s="10">
        <f>'Data Entry'!H10</f>
        <v>4700</v>
      </c>
      <c r="AA9" s="13">
        <f>'Data Entry'!AE10</f>
        <v>0.20512820512820512</v>
      </c>
      <c r="AG9" s="1" t="s">
        <v>13</v>
      </c>
      <c r="AH9" s="10">
        <f>'Data Entry'!I10</f>
        <v>3800</v>
      </c>
      <c r="AI9" s="13">
        <f>'Data Entry'!AF10</f>
        <v>-0.19148936170212766</v>
      </c>
      <c r="AO9" s="1" t="s">
        <v>13</v>
      </c>
      <c r="AP9" s="10">
        <f>'Data Entry'!J10</f>
        <v>3200</v>
      </c>
      <c r="AQ9" s="13">
        <f>'Data Entry'!AG10</f>
        <v>-0.15789473684210525</v>
      </c>
      <c r="AW9" s="1" t="s">
        <v>13</v>
      </c>
      <c r="AX9" s="10">
        <f>'Data Entry'!K10</f>
        <v>3900</v>
      </c>
      <c r="AY9" s="13">
        <f>'Data Entry'!AH10</f>
        <v>0.21875</v>
      </c>
      <c r="BF9" s="1" t="s">
        <v>13</v>
      </c>
      <c r="BG9" s="10">
        <f>'Data Entry'!L10</f>
        <v>6400</v>
      </c>
      <c r="BH9" s="12">
        <f>'Data Entry'!AI10</f>
        <v>0.64102564102564108</v>
      </c>
      <c r="BI9" s="13"/>
      <c r="BN9" s="1" t="s">
        <v>13</v>
      </c>
      <c r="BO9" s="10">
        <f>'Data Entry'!M10</f>
        <v>7544</v>
      </c>
      <c r="BP9" s="12">
        <f>'Data Entry'!AJ10</f>
        <v>0.17874999999999999</v>
      </c>
      <c r="BU9" s="1" t="s">
        <v>13</v>
      </c>
      <c r="BV9" s="10">
        <f>'Data Entry'!N10</f>
        <v>7200</v>
      </c>
      <c r="BW9" s="12">
        <f>'Data Entry'!AK10</f>
        <v>-4.5599151643690349E-2</v>
      </c>
      <c r="CC9" s="1" t="s">
        <v>13</v>
      </c>
      <c r="CD9" s="10">
        <f>'Data Entry'!O10</f>
        <v>6500</v>
      </c>
      <c r="CE9" s="12">
        <f>'Data Entry'!AL10</f>
        <v>-9.7222222222222224E-2</v>
      </c>
      <c r="CK9" s="1" t="s">
        <v>13</v>
      </c>
      <c r="CL9" s="10">
        <f>'Data Entry'!P10</f>
        <v>5600</v>
      </c>
      <c r="CM9" s="12">
        <f>'Data Entry'!AM10</f>
        <v>-0.13846153846153847</v>
      </c>
      <c r="CS9" s="1" t="s">
        <v>13</v>
      </c>
      <c r="CT9" s="10">
        <f>'Data Entry'!Q10</f>
        <v>7234</v>
      </c>
      <c r="CU9" s="12">
        <f>'Data Entry'!AN10</f>
        <v>0.29178571428571426</v>
      </c>
    </row>
    <row r="10" spans="1:99">
      <c r="B10" s="1" t="s">
        <v>14</v>
      </c>
      <c r="C10" s="10">
        <f>'Data Entry'!E11</f>
        <v>27400</v>
      </c>
      <c r="D10" s="13">
        <f>'Data Entry'!AB11</f>
        <v>0.92011212333566927</v>
      </c>
      <c r="E10" s="13"/>
      <c r="J10" s="1" t="s">
        <v>14</v>
      </c>
      <c r="K10" s="10">
        <f>'Data Entry'!F11</f>
        <v>52300</v>
      </c>
      <c r="L10" s="13">
        <f>'Data Entry'!AC11</f>
        <v>0.90875912408759119</v>
      </c>
      <c r="Q10" s="1" t="s">
        <v>14</v>
      </c>
      <c r="R10" s="10">
        <f>'Data Entry'!G11</f>
        <v>57600</v>
      </c>
      <c r="S10" s="13">
        <f>'Data Entry'!AD11</f>
        <v>0.10133843212237094</v>
      </c>
      <c r="Y10" s="1" t="s">
        <v>14</v>
      </c>
      <c r="Z10" s="10">
        <f>'Data Entry'!H11</f>
        <v>37600</v>
      </c>
      <c r="AA10" s="13">
        <f>'Data Entry'!AE11</f>
        <v>-0.34722222222222221</v>
      </c>
      <c r="AG10" s="1" t="s">
        <v>14</v>
      </c>
      <c r="AH10" s="10">
        <f>'Data Entry'!I11</f>
        <v>10800</v>
      </c>
      <c r="AI10" s="13">
        <f>'Data Entry'!AF11</f>
        <v>-0.71276595744680848</v>
      </c>
      <c r="AO10" s="1" t="s">
        <v>14</v>
      </c>
      <c r="AP10" s="10">
        <f>'Data Entry'!J11</f>
        <v>22500</v>
      </c>
      <c r="AQ10" s="13">
        <f>'Data Entry'!AG11</f>
        <v>1.0833333333333333</v>
      </c>
      <c r="AW10" s="1" t="s">
        <v>14</v>
      </c>
      <c r="AX10" s="10">
        <f>'Data Entry'!K11</f>
        <v>26300</v>
      </c>
      <c r="AY10" s="13">
        <f>'Data Entry'!AH11</f>
        <v>0.16888888888888889</v>
      </c>
      <c r="BF10" s="1" t="s">
        <v>14</v>
      </c>
      <c r="BG10" s="10">
        <f>'Data Entry'!L11</f>
        <v>49065</v>
      </c>
      <c r="BH10" s="12">
        <f>'Data Entry'!AI11</f>
        <v>0.86558935361216727</v>
      </c>
      <c r="BI10" s="13"/>
      <c r="BN10" s="1" t="s">
        <v>14</v>
      </c>
      <c r="BO10" s="10">
        <f>'Data Entry'!M11</f>
        <v>51890</v>
      </c>
      <c r="BP10" s="12">
        <f>'Data Entry'!AJ11</f>
        <v>5.7576683990624683E-2</v>
      </c>
      <c r="BU10" s="1" t="s">
        <v>14</v>
      </c>
      <c r="BV10" s="10">
        <f>'Data Entry'!N11</f>
        <v>43444</v>
      </c>
      <c r="BW10" s="12">
        <f>'Data Entry'!AK11</f>
        <v>-0.16276739256118714</v>
      </c>
      <c r="CC10" s="1" t="s">
        <v>14</v>
      </c>
      <c r="CD10" s="10">
        <f>'Data Entry'!O11</f>
        <v>47089</v>
      </c>
      <c r="CE10" s="12">
        <f>'Data Entry'!AL11</f>
        <v>8.3901114077893385E-2</v>
      </c>
      <c r="CK10" s="1" t="s">
        <v>14</v>
      </c>
      <c r="CL10" s="10">
        <f>'Data Entry'!P11</f>
        <v>51234</v>
      </c>
      <c r="CM10" s="12">
        <f>'Data Entry'!AM11</f>
        <v>8.8024804094374479E-2</v>
      </c>
      <c r="CS10" s="1" t="s">
        <v>14</v>
      </c>
      <c r="CT10" s="10">
        <f>'Data Entry'!Q11</f>
        <v>32000</v>
      </c>
      <c r="CU10" s="12">
        <f>'Data Entry'!AN11</f>
        <v>-0.37541476363352461</v>
      </c>
    </row>
    <row r="11" spans="1:99">
      <c r="B11" s="1" t="s">
        <v>15</v>
      </c>
      <c r="C11" s="10">
        <f>'Data Entry'!E12</f>
        <v>1700</v>
      </c>
      <c r="D11" s="13">
        <f>'Data Entry'!AB12</f>
        <v>0.89098998887652947</v>
      </c>
      <c r="E11" s="13"/>
      <c r="J11" s="1" t="s">
        <v>15</v>
      </c>
      <c r="K11" s="10">
        <f>'Data Entry'!F12</f>
        <v>2300</v>
      </c>
      <c r="L11" s="13">
        <f>'Data Entry'!AC12</f>
        <v>0.35294117647058826</v>
      </c>
      <c r="Q11" s="1" t="s">
        <v>15</v>
      </c>
      <c r="R11" s="10">
        <f>'Data Entry'!G12</f>
        <v>3100</v>
      </c>
      <c r="S11" s="13">
        <f>'Data Entry'!AD12</f>
        <v>0.34782608695652173</v>
      </c>
      <c r="Y11" s="1" t="s">
        <v>15</v>
      </c>
      <c r="Z11" s="10">
        <f>'Data Entry'!H12</f>
        <v>2400</v>
      </c>
      <c r="AA11" s="13">
        <f>'Data Entry'!AE12</f>
        <v>-0.22580645161290322</v>
      </c>
      <c r="AG11" s="1" t="s">
        <v>15</v>
      </c>
      <c r="AH11" s="10">
        <f>'Data Entry'!I12</f>
        <v>992</v>
      </c>
      <c r="AI11" s="13">
        <f>'Data Entry'!AF12</f>
        <v>-0.58666666666666667</v>
      </c>
      <c r="AO11" s="1" t="s">
        <v>15</v>
      </c>
      <c r="AP11" s="10">
        <f>'Data Entry'!J12</f>
        <v>1400</v>
      </c>
      <c r="AQ11" s="13">
        <f>'Data Entry'!AG12</f>
        <v>0.41129032258064518</v>
      </c>
      <c r="AW11" s="1" t="s">
        <v>15</v>
      </c>
      <c r="AX11" s="10">
        <f>'Data Entry'!K12</f>
        <v>1300</v>
      </c>
      <c r="AY11" s="13">
        <f>'Data Entry'!AH12</f>
        <v>-7.1428571428571425E-2</v>
      </c>
      <c r="BF11" s="1" t="s">
        <v>15</v>
      </c>
      <c r="BG11" s="10">
        <f>'Data Entry'!L12</f>
        <v>3466</v>
      </c>
      <c r="BH11" s="12">
        <f>'Data Entry'!AI12</f>
        <v>1.6661538461538461</v>
      </c>
      <c r="BI11" s="13"/>
      <c r="BN11" s="1" t="s">
        <v>15</v>
      </c>
      <c r="BO11" s="10">
        <f>'Data Entry'!M12</f>
        <v>2456</v>
      </c>
      <c r="BP11" s="12">
        <f>'Data Entry'!AJ12</f>
        <v>-0.29140219272937101</v>
      </c>
      <c r="BU11" s="1" t="s">
        <v>15</v>
      </c>
      <c r="BV11" s="10">
        <f>'Data Entry'!N12</f>
        <v>1234</v>
      </c>
      <c r="BW11" s="12">
        <f>'Data Entry'!AK12</f>
        <v>-0.49755700325732899</v>
      </c>
      <c r="CC11" s="1" t="s">
        <v>15</v>
      </c>
      <c r="CD11" s="10">
        <f>'Data Entry'!O12</f>
        <v>4321</v>
      </c>
      <c r="CE11" s="12">
        <f>'Data Entry'!AL12</f>
        <v>2.5016207455429496</v>
      </c>
      <c r="CK11" s="1" t="s">
        <v>15</v>
      </c>
      <c r="CL11" s="10">
        <f>'Data Entry'!P12</f>
        <v>2341</v>
      </c>
      <c r="CM11" s="12">
        <f>'Data Entry'!AM12</f>
        <v>-0.45822726220782228</v>
      </c>
      <c r="CS11" s="1" t="s">
        <v>15</v>
      </c>
      <c r="CT11" s="10">
        <f>'Data Entry'!Q12</f>
        <v>3421</v>
      </c>
      <c r="CU11" s="12">
        <f>'Data Entry'!AN12</f>
        <v>0.46134130713370353</v>
      </c>
    </row>
    <row r="12" spans="1:99">
      <c r="B12" s="1" t="s">
        <v>16</v>
      </c>
      <c r="C12" s="10">
        <f>'Data Entry'!E13</f>
        <v>817</v>
      </c>
      <c r="D12" s="13">
        <f>'Data Entry'!AB13</f>
        <v>0.79166666666666663</v>
      </c>
      <c r="E12" s="13"/>
      <c r="J12" s="1" t="s">
        <v>16</v>
      </c>
      <c r="K12" s="10">
        <f>'Data Entry'!F13</f>
        <v>1100</v>
      </c>
      <c r="L12" s="13">
        <f>'Data Entry'!AC13</f>
        <v>0.34638922888616891</v>
      </c>
      <c r="Q12" s="1" t="s">
        <v>16</v>
      </c>
      <c r="R12" s="10">
        <f>'Data Entry'!G13</f>
        <v>859</v>
      </c>
      <c r="S12" s="13">
        <f>'Data Entry'!AD13</f>
        <v>-0.21909090909090909</v>
      </c>
      <c r="Y12" s="1" t="s">
        <v>16</v>
      </c>
      <c r="Z12" s="10">
        <f>'Data Entry'!H13</f>
        <v>731</v>
      </c>
      <c r="AA12" s="13">
        <f>'Data Entry'!AE13</f>
        <v>-0.1490104772991851</v>
      </c>
      <c r="AG12" s="1" t="s">
        <v>16</v>
      </c>
      <c r="AH12" s="10">
        <f>'Data Entry'!I13</f>
        <v>394</v>
      </c>
      <c r="AI12" s="13">
        <f>'Data Entry'!AF13</f>
        <v>-0.46101231190150477</v>
      </c>
      <c r="AO12" s="1" t="s">
        <v>16</v>
      </c>
      <c r="AP12" s="10">
        <f>'Data Entry'!J13</f>
        <v>446</v>
      </c>
      <c r="AQ12" s="13">
        <f>'Data Entry'!AG13</f>
        <v>0.13197969543147209</v>
      </c>
      <c r="AW12" s="1" t="s">
        <v>16</v>
      </c>
      <c r="AX12" s="10">
        <f>'Data Entry'!K13</f>
        <v>527</v>
      </c>
      <c r="AY12" s="13">
        <f>'Data Entry'!AH13</f>
        <v>0.18161434977578475</v>
      </c>
      <c r="BF12" s="1" t="s">
        <v>16</v>
      </c>
      <c r="BG12" s="10">
        <f>'Data Entry'!L13</f>
        <v>1240</v>
      </c>
      <c r="BH12" s="12">
        <f>'Data Entry'!AI13</f>
        <v>1.3529411764705883</v>
      </c>
      <c r="BI12" s="13"/>
      <c r="BN12" s="1" t="s">
        <v>16</v>
      </c>
      <c r="BO12" s="10">
        <f>'Data Entry'!M13</f>
        <v>980</v>
      </c>
      <c r="BP12" s="12">
        <f>'Data Entry'!AJ13</f>
        <v>-0.20967741935483872</v>
      </c>
      <c r="BU12" s="1" t="s">
        <v>16</v>
      </c>
      <c r="BV12" s="10">
        <f>'Data Entry'!N13</f>
        <v>970</v>
      </c>
      <c r="BW12" s="12">
        <f>'Data Entry'!AK13</f>
        <v>-1.020408163265306E-2</v>
      </c>
      <c r="CC12" s="1" t="s">
        <v>16</v>
      </c>
      <c r="CD12" s="10">
        <f>'Data Entry'!O13</f>
        <v>567</v>
      </c>
      <c r="CE12" s="12">
        <f>'Data Entry'!AL13</f>
        <v>-0.41546391752577322</v>
      </c>
      <c r="CK12" s="1" t="s">
        <v>16</v>
      </c>
      <c r="CL12" s="10">
        <f>'Data Entry'!P13</f>
        <v>657</v>
      </c>
      <c r="CM12" s="12">
        <f>'Data Entry'!AM13</f>
        <v>0.15873015873015872</v>
      </c>
      <c r="CS12" s="1" t="s">
        <v>16</v>
      </c>
      <c r="CT12" s="10">
        <f>'Data Entry'!Q13</f>
        <v>598</v>
      </c>
      <c r="CU12" s="12">
        <f>'Data Entry'!AN13</f>
        <v>-8.9802130898021304E-2</v>
      </c>
    </row>
    <row r="13" spans="1:99">
      <c r="B13" s="1" t="s">
        <v>17</v>
      </c>
      <c r="C13" s="10">
        <f>'Data Entry'!E14</f>
        <v>1800</v>
      </c>
      <c r="D13" s="13">
        <f>'Data Entry'!AB14</f>
        <v>0.74081237911025144</v>
      </c>
      <c r="E13" s="13"/>
      <c r="J13" s="1" t="s">
        <v>17</v>
      </c>
      <c r="K13" s="10">
        <f>'Data Entry'!F14</f>
        <v>1900</v>
      </c>
      <c r="L13" s="13">
        <f>'Data Entry'!AC14</f>
        <v>5.5555555555555552E-2</v>
      </c>
      <c r="Q13" s="1" t="s">
        <v>17</v>
      </c>
      <c r="R13" s="10">
        <f>'Data Entry'!G14</f>
        <v>1300</v>
      </c>
      <c r="S13" s="13">
        <f>'Data Entry'!AD14</f>
        <v>-0.31578947368421051</v>
      </c>
      <c r="Y13" s="1" t="s">
        <v>17</v>
      </c>
      <c r="Z13" s="10">
        <f>'Data Entry'!H14</f>
        <v>1200</v>
      </c>
      <c r="AA13" s="13">
        <f>'Data Entry'!AE14</f>
        <v>-7.6923076923076927E-2</v>
      </c>
      <c r="AG13" s="1" t="s">
        <v>17</v>
      </c>
      <c r="AH13" s="10">
        <f>'Data Entry'!I14</f>
        <v>548</v>
      </c>
      <c r="AI13" s="13">
        <f>'Data Entry'!AF14</f>
        <v>-0.54333333333333333</v>
      </c>
      <c r="AO13" s="1" t="s">
        <v>17</v>
      </c>
      <c r="AP13" s="10">
        <f>'Data Entry'!J14</f>
        <v>574</v>
      </c>
      <c r="AQ13" s="13">
        <f>'Data Entry'!AG14</f>
        <v>4.7445255474452552E-2</v>
      </c>
      <c r="AW13" s="1" t="s">
        <v>17</v>
      </c>
      <c r="AX13" s="10">
        <f>'Data Entry'!K14</f>
        <v>576</v>
      </c>
      <c r="AY13" s="13">
        <f>'Data Entry'!AH14</f>
        <v>3.4843205574912892E-3</v>
      </c>
      <c r="BF13" s="1" t="s">
        <v>17</v>
      </c>
      <c r="BG13" s="10">
        <f>'Data Entry'!L14</f>
        <v>2242</v>
      </c>
      <c r="BH13" s="12">
        <f>'Data Entry'!AI14</f>
        <v>2.8923611111111112</v>
      </c>
      <c r="BI13" s="13"/>
      <c r="BN13" s="1" t="s">
        <v>17</v>
      </c>
      <c r="BO13" s="10">
        <f>'Data Entry'!M14</f>
        <v>768</v>
      </c>
      <c r="BP13" s="12">
        <f>'Data Entry'!AJ14</f>
        <v>-0.65744870651204279</v>
      </c>
      <c r="BU13" s="1" t="s">
        <v>17</v>
      </c>
      <c r="BV13" s="10">
        <f>'Data Entry'!N14</f>
        <v>1022</v>
      </c>
      <c r="BW13" s="12">
        <f>'Data Entry'!AK14</f>
        <v>0.33072916666666669</v>
      </c>
      <c r="CC13" s="1" t="s">
        <v>17</v>
      </c>
      <c r="CD13" s="10">
        <f>'Data Entry'!O14</f>
        <v>456</v>
      </c>
      <c r="CE13" s="12">
        <f>'Data Entry'!AL14</f>
        <v>-0.55381604696673192</v>
      </c>
      <c r="CK13" s="1" t="s">
        <v>17</v>
      </c>
      <c r="CL13" s="10">
        <f>'Data Entry'!P14</f>
        <v>678</v>
      </c>
      <c r="CM13" s="12">
        <f>'Data Entry'!AM14</f>
        <v>0.48684210526315791</v>
      </c>
      <c r="CS13" s="1" t="s">
        <v>17</v>
      </c>
      <c r="CT13" s="10">
        <f>'Data Entry'!Q14</f>
        <v>777</v>
      </c>
      <c r="CU13" s="12">
        <f>'Data Entry'!AN14</f>
        <v>0.14601769911504425</v>
      </c>
    </row>
    <row r="14" spans="1:99">
      <c r="B14" s="1" t="s">
        <v>18</v>
      </c>
      <c r="C14" s="10">
        <f>'Data Entry'!E15</f>
        <v>493400</v>
      </c>
      <c r="D14" s="13">
        <f>'Data Entry'!AB15</f>
        <v>0.44016345592527728</v>
      </c>
      <c r="E14" s="13"/>
      <c r="J14" s="1" t="s">
        <v>18</v>
      </c>
      <c r="K14" s="10">
        <f>'Data Entry'!F15</f>
        <v>698800</v>
      </c>
      <c r="L14" s="13">
        <f>'Data Entry'!AC15</f>
        <v>0.41629509525739766</v>
      </c>
      <c r="Q14" s="1" t="s">
        <v>18</v>
      </c>
      <c r="R14" s="10">
        <f>'Data Entry'!G15</f>
        <v>613900</v>
      </c>
      <c r="S14" s="13">
        <f>'Data Entry'!AD15</f>
        <v>-0.12149398969662278</v>
      </c>
      <c r="Y14" s="1" t="s">
        <v>18</v>
      </c>
      <c r="Z14" s="10">
        <f>'Data Entry'!H15</f>
        <v>322100</v>
      </c>
      <c r="AA14" s="13">
        <f>'Data Entry'!AE15</f>
        <v>-0.47532171363414238</v>
      </c>
      <c r="AG14" s="1" t="s">
        <v>18</v>
      </c>
      <c r="AH14" s="10">
        <f>'Data Entry'!I15</f>
        <v>233500</v>
      </c>
      <c r="AI14" s="13">
        <f>'Data Entry'!AF15</f>
        <v>-0.27506985408258305</v>
      </c>
      <c r="AO14" s="1" t="s">
        <v>18</v>
      </c>
      <c r="AP14" s="10">
        <f>'Data Entry'!J15</f>
        <v>207700</v>
      </c>
      <c r="AQ14" s="13">
        <f>'Data Entry'!AG15</f>
        <v>-0.11049250535331906</v>
      </c>
      <c r="AW14" s="1" t="s">
        <v>18</v>
      </c>
      <c r="AX14" s="10">
        <f>'Data Entry'!K15</f>
        <v>255432</v>
      </c>
      <c r="AY14" s="13">
        <f>'Data Entry'!AH15</f>
        <v>0.22981222917669716</v>
      </c>
      <c r="BF14" s="1" t="s">
        <v>18</v>
      </c>
      <c r="BG14" s="10">
        <f>'Data Entry'!L15</f>
        <v>464100</v>
      </c>
      <c r="BH14" s="12">
        <f>'Data Entry'!AI15</f>
        <v>0.8169219205111341</v>
      </c>
      <c r="BI14" s="13"/>
      <c r="BN14" s="1" t="s">
        <v>18</v>
      </c>
      <c r="BO14" s="10">
        <f>'Data Entry'!M15</f>
        <v>450000</v>
      </c>
      <c r="BP14" s="12">
        <f>'Data Entry'!AJ15</f>
        <v>-3.0381383322559793E-2</v>
      </c>
      <c r="BU14" s="1" t="s">
        <v>18</v>
      </c>
      <c r="BV14" s="10">
        <f>'Data Entry'!N15</f>
        <v>465789</v>
      </c>
      <c r="BW14" s="12">
        <f>'Data Entry'!AK15</f>
        <v>3.5086666666666669E-2</v>
      </c>
      <c r="CC14" s="1" t="s">
        <v>18</v>
      </c>
      <c r="CD14" s="10">
        <f>'Data Entry'!O15</f>
        <v>657000</v>
      </c>
      <c r="CE14" s="12">
        <f>'Data Entry'!AL15</f>
        <v>0.41050990899312778</v>
      </c>
      <c r="CK14" s="1" t="s">
        <v>18</v>
      </c>
      <c r="CL14" s="10">
        <f>'Data Entry'!P15</f>
        <v>451232</v>
      </c>
      <c r="CM14" s="12">
        <f>'Data Entry'!AM15</f>
        <v>-0.31319330289193303</v>
      </c>
      <c r="CS14" s="1" t="s">
        <v>18</v>
      </c>
      <c r="CT14" s="10">
        <f>'Data Entry'!Q15</f>
        <v>442789</v>
      </c>
      <c r="CU14" s="12">
        <f>'Data Entry'!AN15</f>
        <v>-1.8710995674065669E-2</v>
      </c>
    </row>
    <row r="17" spans="1:99">
      <c r="A17" s="1" t="s">
        <v>19</v>
      </c>
      <c r="B17" s="1" t="s">
        <v>2</v>
      </c>
      <c r="C17" s="1" t="s">
        <v>3</v>
      </c>
      <c r="D17" s="1" t="s">
        <v>31</v>
      </c>
      <c r="I17" s="1" t="s">
        <v>19</v>
      </c>
      <c r="J17" s="1" t="s">
        <v>2</v>
      </c>
      <c r="K17" s="1" t="s">
        <v>3</v>
      </c>
      <c r="L17" s="1" t="s">
        <v>31</v>
      </c>
      <c r="P17" s="1" t="s">
        <v>19</v>
      </c>
      <c r="Q17" s="1" t="s">
        <v>2</v>
      </c>
      <c r="R17" s="1" t="s">
        <v>3</v>
      </c>
      <c r="S17" s="1" t="s">
        <v>31</v>
      </c>
      <c r="X17" s="1" t="s">
        <v>19</v>
      </c>
      <c r="Y17" s="1" t="s">
        <v>2</v>
      </c>
      <c r="Z17" s="1" t="s">
        <v>3</v>
      </c>
      <c r="AA17" s="1" t="s">
        <v>31</v>
      </c>
      <c r="AF17" s="1" t="s">
        <v>19</v>
      </c>
      <c r="AG17" s="1" t="s">
        <v>2</v>
      </c>
      <c r="AH17" s="1" t="s">
        <v>3</v>
      </c>
      <c r="AI17" s="1" t="s">
        <v>31</v>
      </c>
      <c r="AN17" s="1" t="s">
        <v>19</v>
      </c>
      <c r="AO17" s="1" t="s">
        <v>2</v>
      </c>
      <c r="AP17" s="1" t="s">
        <v>3</v>
      </c>
      <c r="AQ17" s="1" t="s">
        <v>31</v>
      </c>
      <c r="AV17" s="1" t="s">
        <v>19</v>
      </c>
      <c r="AW17" s="1" t="s">
        <v>2</v>
      </c>
      <c r="AX17" s="1" t="s">
        <v>3</v>
      </c>
      <c r="AY17" s="1" t="s">
        <v>31</v>
      </c>
      <c r="BE17" s="1" t="s">
        <v>19</v>
      </c>
      <c r="BF17" s="1" t="s">
        <v>2</v>
      </c>
      <c r="BG17" s="1" t="s">
        <v>3</v>
      </c>
      <c r="BH17" s="1" t="s">
        <v>31</v>
      </c>
      <c r="BM17" s="1" t="s">
        <v>19</v>
      </c>
      <c r="BN17" s="1" t="s">
        <v>2</v>
      </c>
      <c r="BO17" s="1" t="s">
        <v>3</v>
      </c>
      <c r="BP17" s="1" t="s">
        <v>31</v>
      </c>
      <c r="BT17" s="1" t="s">
        <v>19</v>
      </c>
      <c r="BU17" s="1" t="s">
        <v>2</v>
      </c>
      <c r="BV17" s="1" t="s">
        <v>3</v>
      </c>
      <c r="BW17" s="1" t="s">
        <v>31</v>
      </c>
      <c r="CB17" s="1" t="s">
        <v>19</v>
      </c>
      <c r="CC17" s="1" t="s">
        <v>2</v>
      </c>
      <c r="CD17" s="1" t="s">
        <v>3</v>
      </c>
      <c r="CE17" s="1" t="s">
        <v>31</v>
      </c>
      <c r="CJ17" s="1" t="s">
        <v>19</v>
      </c>
      <c r="CK17" s="1" t="s">
        <v>2</v>
      </c>
      <c r="CL17" s="1" t="s">
        <v>3</v>
      </c>
      <c r="CM17" s="1" t="s">
        <v>31</v>
      </c>
      <c r="CR17" s="1" t="s">
        <v>19</v>
      </c>
      <c r="CS17" s="1" t="s">
        <v>2</v>
      </c>
      <c r="CT17" s="1" t="s">
        <v>3</v>
      </c>
      <c r="CU17" s="1" t="s">
        <v>31</v>
      </c>
    </row>
    <row r="18" spans="1:99">
      <c r="B18" s="1" t="s">
        <v>20</v>
      </c>
      <c r="C18" s="10">
        <f>'Data Entry'!E16</f>
        <v>1000000</v>
      </c>
      <c r="D18" s="12">
        <f>'Data Entry'!AB16</f>
        <v>0.25</v>
      </c>
      <c r="E18" s="12"/>
      <c r="J18" s="1" t="s">
        <v>20</v>
      </c>
      <c r="K18" s="10">
        <f>'Data Entry'!F16</f>
        <v>1400000</v>
      </c>
      <c r="L18" s="12">
        <f>'Data Entry'!AC16</f>
        <v>0.4</v>
      </c>
      <c r="Q18" s="1" t="s">
        <v>20</v>
      </c>
      <c r="R18" s="10">
        <f>'Data Entry'!G16</f>
        <v>454000</v>
      </c>
      <c r="S18" s="12">
        <f>'Data Entry'!AD16</f>
        <v>-0.67571428571428571</v>
      </c>
      <c r="Y18" s="1" t="s">
        <v>20</v>
      </c>
      <c r="Z18" s="10">
        <f>'Data Entry'!H16</f>
        <v>237000</v>
      </c>
      <c r="AA18" s="12">
        <f>'Data Entry'!AE16</f>
        <v>-0.47797356828193832</v>
      </c>
      <c r="AG18" s="1" t="s">
        <v>20</v>
      </c>
      <c r="AH18" s="10">
        <f>'Data Entry'!I16</f>
        <v>48000</v>
      </c>
      <c r="AI18" s="12">
        <f>'Data Entry'!AF16</f>
        <v>-0.79746835443037978</v>
      </c>
      <c r="AO18" s="1" t="s">
        <v>20</v>
      </c>
      <c r="AP18" s="10">
        <f>'Data Entry'!J16</f>
        <v>241000</v>
      </c>
      <c r="AQ18" s="12">
        <f>'Data Entry'!AG16</f>
        <v>4.020833333333333</v>
      </c>
      <c r="AW18" s="1" t="s">
        <v>20</v>
      </c>
      <c r="AX18" s="10">
        <f>'Data Entry'!K16</f>
        <v>486000</v>
      </c>
      <c r="AY18" s="12">
        <f>'Data Entry'!AH16</f>
        <v>1.0165975103734439</v>
      </c>
      <c r="BF18" s="1" t="s">
        <v>20</v>
      </c>
      <c r="BG18" s="10">
        <f>'Data Entry'!L16</f>
        <v>689000</v>
      </c>
      <c r="BH18" s="12">
        <f>'Data Entry'!AI16</f>
        <v>0.41769547325102879</v>
      </c>
      <c r="BI18" s="12"/>
      <c r="BN18" s="1" t="s">
        <v>20</v>
      </c>
      <c r="BO18" s="10">
        <f>'Data Entry'!M16</f>
        <v>700100</v>
      </c>
      <c r="BP18" s="12">
        <f>'Data Entry'!AJ16</f>
        <v>1.6110304789550074E-2</v>
      </c>
      <c r="BU18" s="1" t="s">
        <v>20</v>
      </c>
      <c r="BV18" s="10">
        <f>'Data Entry'!N16</f>
        <v>771222</v>
      </c>
      <c r="BW18" s="12">
        <f>'Data Entry'!AK16</f>
        <v>0.10158834452221112</v>
      </c>
      <c r="CC18" s="1" t="s">
        <v>20</v>
      </c>
      <c r="CD18" s="10">
        <f>'Data Entry'!O16</f>
        <v>675688</v>
      </c>
      <c r="CE18" s="12">
        <f>'Data Entry'!AL16</f>
        <v>-0.12387354095189193</v>
      </c>
      <c r="CK18" s="1" t="s">
        <v>20</v>
      </c>
      <c r="CL18" s="10">
        <f>'Data Entry'!P16</f>
        <v>564355</v>
      </c>
      <c r="CM18" s="12">
        <f>'Data Entry'!AM16</f>
        <v>-0.16476983459821692</v>
      </c>
      <c r="CS18" s="1" t="s">
        <v>20</v>
      </c>
      <c r="CT18" s="10">
        <f>'Data Entry'!Q16</f>
        <v>546788</v>
      </c>
      <c r="CU18" s="12">
        <f>'Data Entry'!AN16</f>
        <v>-3.1127570412240523E-2</v>
      </c>
    </row>
    <row r="19" spans="1:99">
      <c r="B19" s="1" t="s">
        <v>21</v>
      </c>
      <c r="C19" s="10">
        <f>'Data Entry'!E17</f>
        <v>53000</v>
      </c>
      <c r="D19" s="13">
        <f>'Data Entry'!AB17</f>
        <v>3.2474236845693803E-2</v>
      </c>
      <c r="E19" s="13"/>
      <c r="J19" s="1" t="s">
        <v>21</v>
      </c>
      <c r="K19" s="10">
        <f>'Data Entry'!F17</f>
        <v>76000</v>
      </c>
      <c r="L19" s="13">
        <f>'Data Entry'!AC17</f>
        <v>0.43396226415094341</v>
      </c>
      <c r="Q19" s="1" t="s">
        <v>21</v>
      </c>
      <c r="R19" s="10">
        <f>'Data Entry'!G17</f>
        <v>9500</v>
      </c>
      <c r="S19" s="13">
        <f>'Data Entry'!AD17</f>
        <v>-0.875</v>
      </c>
      <c r="Y19" s="1" t="s">
        <v>21</v>
      </c>
      <c r="Z19" s="10">
        <f>'Data Entry'!H17</f>
        <v>6600</v>
      </c>
      <c r="AA19" s="13">
        <f>'Data Entry'!AE17</f>
        <v>-0.30526315789473685</v>
      </c>
      <c r="AG19" s="1" t="s">
        <v>21</v>
      </c>
      <c r="AH19" s="10">
        <f>'Data Entry'!I17</f>
        <v>2129</v>
      </c>
      <c r="AI19" s="13">
        <f>'Data Entry'!AF17</f>
        <v>-0.67742424242424237</v>
      </c>
      <c r="AO19" s="1" t="s">
        <v>21</v>
      </c>
      <c r="AP19" s="10">
        <f>'Data Entry'!J17</f>
        <v>6200</v>
      </c>
      <c r="AQ19" s="12">
        <f>'Data Entry'!AG17</f>
        <v>1.9121653358384219</v>
      </c>
      <c r="AW19" s="1" t="s">
        <v>21</v>
      </c>
      <c r="AX19" s="10">
        <f>'Data Entry'!K17</f>
        <v>7800</v>
      </c>
      <c r="AY19" s="13">
        <f>'Data Entry'!AH17</f>
        <v>0.25806451612903225</v>
      </c>
      <c r="BF19" s="1" t="s">
        <v>21</v>
      </c>
      <c r="BG19" s="10">
        <f>'Data Entry'!L17</f>
        <v>14000</v>
      </c>
      <c r="BH19" s="12">
        <f>'Data Entry'!AI17</f>
        <v>0.79487179487179482</v>
      </c>
      <c r="BI19" s="13"/>
      <c r="BN19" s="1" t="s">
        <v>21</v>
      </c>
      <c r="BO19" s="10">
        <f>'Data Entry'!M17</f>
        <v>6766</v>
      </c>
      <c r="BP19" s="12">
        <f>'Data Entry'!AJ17</f>
        <v>-0.51671428571428568</v>
      </c>
      <c r="BU19" s="1" t="s">
        <v>21</v>
      </c>
      <c r="BV19" s="10">
        <f>'Data Entry'!N17</f>
        <v>7890</v>
      </c>
      <c r="BW19" s="12">
        <f>'Data Entry'!AK17</f>
        <v>0.16612474135382796</v>
      </c>
      <c r="CC19" s="1" t="s">
        <v>21</v>
      </c>
      <c r="CD19" s="10">
        <f>'Data Entry'!O17</f>
        <v>7689</v>
      </c>
      <c r="CE19" s="12">
        <f>'Data Entry'!AL17</f>
        <v>-2.547528517110266E-2</v>
      </c>
      <c r="CK19" s="1" t="s">
        <v>21</v>
      </c>
      <c r="CL19" s="10">
        <f>'Data Entry'!P17</f>
        <v>5467</v>
      </c>
      <c r="CM19" s="12">
        <f>'Data Entry'!AM17</f>
        <v>-0.28898426323319026</v>
      </c>
      <c r="CS19" s="1" t="s">
        <v>21</v>
      </c>
      <c r="CT19" s="10">
        <f>'Data Entry'!Q17</f>
        <v>6578</v>
      </c>
      <c r="CU19" s="12">
        <f>'Data Entry'!AN17</f>
        <v>0.20321931589537223</v>
      </c>
    </row>
    <row r="20" spans="1:99">
      <c r="B20" s="1" t="s">
        <v>14</v>
      </c>
      <c r="C20" s="10">
        <f>'Data Entry'!E18</f>
        <v>54000</v>
      </c>
      <c r="D20" s="13">
        <f>'Data Entry'!AB18</f>
        <v>41.620363062352013</v>
      </c>
      <c r="E20" s="13"/>
      <c r="J20" s="1" t="s">
        <v>14</v>
      </c>
      <c r="K20" s="10">
        <f>'Data Entry'!F18</f>
        <v>75000</v>
      </c>
      <c r="L20" s="13">
        <f>'Data Entry'!AC18</f>
        <v>0.3888888888888889</v>
      </c>
      <c r="Q20" s="1" t="s">
        <v>14</v>
      </c>
      <c r="R20" s="10">
        <f>'Data Entry'!G18</f>
        <v>29000</v>
      </c>
      <c r="S20" s="13">
        <f>'Data Entry'!AD18</f>
        <v>-0.61333333333333329</v>
      </c>
      <c r="Y20" s="1" t="s">
        <v>14</v>
      </c>
      <c r="Z20" s="10">
        <f>'Data Entry'!H18</f>
        <v>19000</v>
      </c>
      <c r="AA20" s="13">
        <f>'Data Entry'!AE18</f>
        <v>-0.34482758620689657</v>
      </c>
      <c r="AG20" s="1" t="s">
        <v>14</v>
      </c>
      <c r="AH20" s="10">
        <f>'Data Entry'!I18</f>
        <v>2248</v>
      </c>
      <c r="AI20" s="13">
        <f>'Data Entry'!AF18</f>
        <v>-0.88168421052631574</v>
      </c>
      <c r="AO20" s="1" t="s">
        <v>14</v>
      </c>
      <c r="AP20" s="10">
        <f>'Data Entry'!J18</f>
        <v>20000</v>
      </c>
      <c r="AQ20" s="12">
        <f>'Data Entry'!AG18</f>
        <v>7.8967971530249113</v>
      </c>
      <c r="AW20" s="1" t="s">
        <v>14</v>
      </c>
      <c r="AX20" s="10">
        <f>'Data Entry'!K18</f>
        <v>35000</v>
      </c>
      <c r="AY20" s="13">
        <f>'Data Entry'!AH18</f>
        <v>0.75</v>
      </c>
      <c r="BF20" s="1" t="s">
        <v>14</v>
      </c>
      <c r="BG20" s="10">
        <f>'Data Entry'!L18</f>
        <v>52000</v>
      </c>
      <c r="BH20" s="12">
        <f>'Data Entry'!AI18</f>
        <v>0.48571428571428571</v>
      </c>
      <c r="BI20" s="13"/>
      <c r="BN20" s="1" t="s">
        <v>14</v>
      </c>
      <c r="BO20" s="10">
        <f>'Data Entry'!M18</f>
        <v>43555</v>
      </c>
      <c r="BP20" s="12">
        <f>'Data Entry'!AJ18</f>
        <v>-0.16240384615384615</v>
      </c>
      <c r="BU20" s="1" t="s">
        <v>14</v>
      </c>
      <c r="BV20" s="10">
        <f>'Data Entry'!N18</f>
        <v>54333</v>
      </c>
      <c r="BW20" s="12">
        <f>'Data Entry'!AK18</f>
        <v>0.24745723797497418</v>
      </c>
      <c r="CC20" s="1" t="s">
        <v>14</v>
      </c>
      <c r="CD20" s="10">
        <f>'Data Entry'!O18</f>
        <v>34222</v>
      </c>
      <c r="CE20" s="12">
        <f>'Data Entry'!AL18</f>
        <v>-0.37014337511273077</v>
      </c>
      <c r="CK20" s="1" t="s">
        <v>14</v>
      </c>
      <c r="CL20" s="10">
        <f>'Data Entry'!P18</f>
        <v>23444</v>
      </c>
      <c r="CM20" s="12">
        <f>'Data Entry'!AM18</f>
        <v>-0.31494360352989303</v>
      </c>
      <c r="CS20" s="1" t="s">
        <v>14</v>
      </c>
      <c r="CT20" s="10">
        <f>'Data Entry'!Q18</f>
        <v>44566</v>
      </c>
      <c r="CU20" s="12">
        <f>'Data Entry'!AN18</f>
        <v>0.90095546835011087</v>
      </c>
    </row>
    <row r="21" spans="1:99">
      <c r="B21" s="1" t="s">
        <v>22</v>
      </c>
      <c r="C21" s="10">
        <f>'Data Entry'!E19</f>
        <v>1248</v>
      </c>
      <c r="D21" s="12">
        <f>'Data Entry'!AB19</f>
        <v>6.8987341772151902</v>
      </c>
      <c r="E21" s="12"/>
      <c r="J21" s="1" t="s">
        <v>22</v>
      </c>
      <c r="K21" s="10">
        <f>'Data Entry'!F19</f>
        <v>1400</v>
      </c>
      <c r="L21" s="12">
        <f>'Data Entry'!AC19</f>
        <v>0.12179487179487179</v>
      </c>
      <c r="Q21" s="1" t="s">
        <v>22</v>
      </c>
      <c r="R21" s="10">
        <f>'Data Entry'!G19</f>
        <v>524</v>
      </c>
      <c r="S21" s="12">
        <f>'Data Entry'!AD19</f>
        <v>-0.62571428571428567</v>
      </c>
      <c r="Y21" s="1" t="s">
        <v>22</v>
      </c>
      <c r="Z21" s="10">
        <f>'Data Entry'!H19</f>
        <v>321</v>
      </c>
      <c r="AA21" s="12">
        <f>'Data Entry'!AE19</f>
        <v>-0.38740458015267176</v>
      </c>
      <c r="AG21" s="1" t="s">
        <v>22</v>
      </c>
      <c r="AH21" s="10">
        <f>'Data Entry'!I19</f>
        <v>65</v>
      </c>
      <c r="AI21" s="12">
        <f>'Data Entry'!AF19</f>
        <v>-0.79750778816199375</v>
      </c>
      <c r="AO21" s="1" t="s">
        <v>22</v>
      </c>
      <c r="AP21" s="10">
        <f>'Data Entry'!J19</f>
        <v>333</v>
      </c>
      <c r="AQ21" s="12">
        <f>'Data Entry'!AG19</f>
        <v>4.1230769230769226</v>
      </c>
      <c r="AW21" s="1" t="s">
        <v>22</v>
      </c>
      <c r="AX21" s="10">
        <f>'Data Entry'!K19</f>
        <v>378</v>
      </c>
      <c r="AY21" s="12">
        <f>'Data Entry'!AH19</f>
        <v>0.13513513513513514</v>
      </c>
      <c r="BF21" s="1" t="s">
        <v>22</v>
      </c>
      <c r="BG21" s="10">
        <f>'Data Entry'!L19</f>
        <v>784</v>
      </c>
      <c r="BH21" s="12">
        <f>'Data Entry'!AI19</f>
        <v>1.0740740740740742</v>
      </c>
      <c r="BI21" s="12"/>
      <c r="BN21" s="1" t="s">
        <v>22</v>
      </c>
      <c r="BO21" s="10">
        <f>'Data Entry'!M19</f>
        <v>768</v>
      </c>
      <c r="BP21" s="12">
        <f>'Data Entry'!AJ19</f>
        <v>-2.0408163265306121E-2</v>
      </c>
      <c r="BU21" s="1" t="s">
        <v>22</v>
      </c>
      <c r="BV21" s="10">
        <f>'Data Entry'!N19</f>
        <v>657</v>
      </c>
      <c r="BW21" s="12">
        <f>'Data Entry'!AK19</f>
        <v>-0.14453125</v>
      </c>
      <c r="CC21" s="1" t="s">
        <v>22</v>
      </c>
      <c r="CD21" s="10">
        <f>'Data Entry'!O19</f>
        <v>678</v>
      </c>
      <c r="CE21" s="12">
        <f>'Data Entry'!AL19</f>
        <v>3.1963470319634701E-2</v>
      </c>
      <c r="CK21" s="1" t="s">
        <v>22</v>
      </c>
      <c r="CL21" s="10">
        <f>'Data Entry'!P19</f>
        <v>645</v>
      </c>
      <c r="CM21" s="12">
        <f>'Data Entry'!AM19</f>
        <v>-4.8672566371681415E-2</v>
      </c>
      <c r="CS21" s="1" t="s">
        <v>22</v>
      </c>
      <c r="CT21" s="10">
        <f>'Data Entry'!Q19</f>
        <v>578</v>
      </c>
      <c r="CU21" s="12">
        <f>'Data Entry'!AN19</f>
        <v>-0.10387596899224806</v>
      </c>
    </row>
    <row r="22" spans="1:99">
      <c r="B22" s="1" t="s">
        <v>17</v>
      </c>
      <c r="C22" s="10">
        <f>'Data Entry'!E20</f>
        <v>1819</v>
      </c>
      <c r="D22" s="12">
        <f>'Data Entry'!AB20</f>
        <v>49.527777777777779</v>
      </c>
      <c r="E22" s="12"/>
      <c r="J22" s="1" t="s">
        <v>17</v>
      </c>
      <c r="K22" s="10">
        <f>'Data Entry'!F20</f>
        <v>2000</v>
      </c>
      <c r="L22" s="12">
        <f>'Data Entry'!AC20</f>
        <v>9.9505222649807587E-2</v>
      </c>
      <c r="Q22" s="1" t="s">
        <v>17</v>
      </c>
      <c r="R22" s="10">
        <f>'Data Entry'!G20</f>
        <v>1400</v>
      </c>
      <c r="S22" s="12">
        <f>'Data Entry'!AD20</f>
        <v>-0.3</v>
      </c>
      <c r="Y22" s="1" t="s">
        <v>17</v>
      </c>
      <c r="Z22" s="10">
        <f>'Data Entry'!H20</f>
        <v>992</v>
      </c>
      <c r="AA22" s="12">
        <f>'Data Entry'!AE20</f>
        <v>-0.29142857142857143</v>
      </c>
      <c r="AG22" s="1" t="s">
        <v>17</v>
      </c>
      <c r="AH22" s="10">
        <f>'Data Entry'!I20</f>
        <v>1312</v>
      </c>
      <c r="AI22" s="12">
        <f>'Data Entry'!AF20</f>
        <v>0.32258064516129031</v>
      </c>
      <c r="AO22" s="1" t="s">
        <v>17</v>
      </c>
      <c r="AP22" s="10">
        <f>'Data Entry'!J20</f>
        <v>708</v>
      </c>
      <c r="AQ22" s="12">
        <f>'Data Entry'!AG20</f>
        <v>-0.46036585365853661</v>
      </c>
      <c r="AW22" s="1" t="s">
        <v>17</v>
      </c>
      <c r="AX22" s="10">
        <f>'Data Entry'!K20</f>
        <v>882</v>
      </c>
      <c r="AY22" s="12">
        <f>'Data Entry'!AH20</f>
        <v>0.24576271186440679</v>
      </c>
      <c r="BF22" s="1" t="s">
        <v>17</v>
      </c>
      <c r="BG22" s="10">
        <f>'Data Entry'!L20</f>
        <v>2300</v>
      </c>
      <c r="BH22" s="12">
        <f>'Data Entry'!AI20</f>
        <v>1.6077097505668934</v>
      </c>
      <c r="BI22" s="12"/>
      <c r="BN22" s="1" t="s">
        <v>17</v>
      </c>
      <c r="BO22" s="10">
        <f>'Data Entry'!M20</f>
        <v>996</v>
      </c>
      <c r="BP22" s="12">
        <f>'Data Entry'!AJ20</f>
        <v>-0.56695652173913047</v>
      </c>
      <c r="BU22" s="1" t="s">
        <v>17</v>
      </c>
      <c r="BV22" s="10">
        <f>'Data Entry'!N20</f>
        <v>557</v>
      </c>
      <c r="BW22" s="12">
        <f>'Data Entry'!AK20</f>
        <v>-0.44076305220883533</v>
      </c>
      <c r="CC22" s="1" t="s">
        <v>17</v>
      </c>
      <c r="CD22" s="10">
        <f>'Data Entry'!O20</f>
        <v>658</v>
      </c>
      <c r="CE22" s="12">
        <f>'Data Entry'!AL20</f>
        <v>0.18132854578096949</v>
      </c>
      <c r="CK22" s="1" t="s">
        <v>17</v>
      </c>
      <c r="CL22" s="10">
        <f>'Data Entry'!P20</f>
        <v>678</v>
      </c>
      <c r="CM22" s="12">
        <f>'Data Entry'!AM20</f>
        <v>3.0395136778115502E-2</v>
      </c>
      <c r="CS22" s="1" t="s">
        <v>17</v>
      </c>
      <c r="CT22" s="10">
        <f>'Data Entry'!Q20</f>
        <v>654</v>
      </c>
      <c r="CU22" s="12">
        <f>'Data Entry'!AN20</f>
        <v>-3.5398230088495575E-2</v>
      </c>
    </row>
    <row r="23" spans="1:99">
      <c r="B23" s="1" t="s">
        <v>23</v>
      </c>
      <c r="C23" s="10">
        <f>'Data Entry'!E21</f>
        <v>43234</v>
      </c>
      <c r="D23" s="12">
        <f>'Data Entry'!AB21</f>
        <v>-0.78910243902439026</v>
      </c>
      <c r="E23" s="12"/>
      <c r="J23" s="1" t="s">
        <v>23</v>
      </c>
      <c r="K23" s="10">
        <f>'Data Entry'!F21</f>
        <v>205000</v>
      </c>
      <c r="L23" s="12">
        <f>'Data Entry'!AC21</f>
        <v>3.741638525234769</v>
      </c>
      <c r="Q23" s="1" t="s">
        <v>23</v>
      </c>
      <c r="R23" s="10">
        <f>'Data Entry'!G21</f>
        <v>45000</v>
      </c>
      <c r="S23" s="12">
        <f>'Data Entry'!AD21</f>
        <v>-0.78048780487804881</v>
      </c>
      <c r="Y23" s="1" t="s">
        <v>23</v>
      </c>
      <c r="Z23" s="10">
        <f>'Data Entry'!H21</f>
        <v>30000</v>
      </c>
      <c r="AA23" s="12">
        <f>'Data Entry'!AE21</f>
        <v>-0.33333333333333331</v>
      </c>
      <c r="AG23" s="1" t="s">
        <v>23</v>
      </c>
      <c r="AH23" s="10">
        <f>'Data Entry'!I21</f>
        <v>1312</v>
      </c>
      <c r="AI23" s="12">
        <f>'Data Entry'!AF21</f>
        <v>-0.95626666666666671</v>
      </c>
      <c r="AO23" s="1" t="s">
        <v>23</v>
      </c>
      <c r="AP23" s="10">
        <f>'Data Entry'!J21</f>
        <v>42000</v>
      </c>
      <c r="AQ23" s="12">
        <f>'Data Entry'!AG21</f>
        <v>31.012195121951219</v>
      </c>
      <c r="AW23" s="1" t="s">
        <v>23</v>
      </c>
      <c r="AX23" s="10">
        <f>'Data Entry'!K21</f>
        <v>184000</v>
      </c>
      <c r="AY23" s="12">
        <f>'Data Entry'!AH21</f>
        <v>3.3809523809523809</v>
      </c>
      <c r="BF23" s="1" t="s">
        <v>23</v>
      </c>
      <c r="BG23" s="10">
        <f>'Data Entry'!L21</f>
        <v>124000</v>
      </c>
      <c r="BH23" s="12">
        <f>'Data Entry'!AI21</f>
        <v>-0.32608695652173914</v>
      </c>
      <c r="BI23" s="12"/>
      <c r="BN23" s="1" t="s">
        <v>23</v>
      </c>
      <c r="BO23" s="10">
        <f>'Data Entry'!M21</f>
        <v>88777</v>
      </c>
      <c r="BP23" s="12">
        <f>'Data Entry'!AJ21</f>
        <v>-0.28405645161290322</v>
      </c>
      <c r="BU23" s="1" t="s">
        <v>23</v>
      </c>
      <c r="BV23" s="10">
        <f>'Data Entry'!N21</f>
        <v>43565</v>
      </c>
      <c r="BW23" s="12">
        <f>'Data Entry'!AK21</f>
        <v>-0.50927605122948516</v>
      </c>
      <c r="CC23" s="1" t="s">
        <v>23</v>
      </c>
      <c r="CD23" s="10">
        <f>'Data Entry'!O21</f>
        <v>34333</v>
      </c>
      <c r="CE23" s="12">
        <f>'Data Entry'!AL21</f>
        <v>-0.21191323309996557</v>
      </c>
      <c r="CK23" s="1" t="s">
        <v>23</v>
      </c>
      <c r="CL23" s="10">
        <f>'Data Entry'!P21</f>
        <v>23454</v>
      </c>
      <c r="CM23" s="12">
        <f>'Data Entry'!AM21</f>
        <v>-0.31686715405003935</v>
      </c>
      <c r="CS23" s="1" t="s">
        <v>23</v>
      </c>
      <c r="CT23" s="10">
        <f>'Data Entry'!Q21</f>
        <v>45332</v>
      </c>
      <c r="CU23" s="12">
        <f>'Data Entry'!AN21</f>
        <v>0.93280463886757059</v>
      </c>
    </row>
    <row r="26" spans="1:99">
      <c r="A26" s="1" t="s">
        <v>0</v>
      </c>
      <c r="B26" s="1" t="s">
        <v>2</v>
      </c>
      <c r="C26" s="1" t="s">
        <v>3</v>
      </c>
      <c r="D26" s="1" t="s">
        <v>31</v>
      </c>
      <c r="I26" s="1" t="s">
        <v>0</v>
      </c>
      <c r="J26" s="1" t="s">
        <v>2</v>
      </c>
      <c r="K26" s="1" t="s">
        <v>3</v>
      </c>
      <c r="L26" s="1" t="s">
        <v>31</v>
      </c>
      <c r="P26" s="1" t="s">
        <v>0</v>
      </c>
      <c r="Q26" s="1" t="s">
        <v>2</v>
      </c>
      <c r="R26" s="1" t="s">
        <v>3</v>
      </c>
      <c r="S26" s="1" t="s">
        <v>31</v>
      </c>
      <c r="X26" s="1" t="s">
        <v>0</v>
      </c>
      <c r="Y26" s="1" t="s">
        <v>2</v>
      </c>
      <c r="Z26" s="1" t="s">
        <v>3</v>
      </c>
      <c r="AA26" s="1" t="s">
        <v>31</v>
      </c>
      <c r="AF26" s="1" t="s">
        <v>0</v>
      </c>
      <c r="AG26" s="1" t="s">
        <v>2</v>
      </c>
      <c r="AH26" s="1" t="s">
        <v>3</v>
      </c>
      <c r="AI26" s="1" t="s">
        <v>31</v>
      </c>
      <c r="AN26" s="1" t="s">
        <v>0</v>
      </c>
      <c r="AO26" s="1" t="s">
        <v>2</v>
      </c>
      <c r="AP26" s="1" t="s">
        <v>3</v>
      </c>
      <c r="AQ26" s="1" t="s">
        <v>31</v>
      </c>
      <c r="AV26" s="1" t="s">
        <v>0</v>
      </c>
      <c r="AW26" s="1" t="s">
        <v>2</v>
      </c>
      <c r="AX26" s="1" t="s">
        <v>3</v>
      </c>
      <c r="AY26" s="1" t="s">
        <v>31</v>
      </c>
      <c r="BE26" s="1" t="s">
        <v>0</v>
      </c>
      <c r="BF26" s="1" t="s">
        <v>2</v>
      </c>
      <c r="BG26" s="1" t="s">
        <v>3</v>
      </c>
      <c r="BH26" s="1" t="s">
        <v>31</v>
      </c>
      <c r="BM26" s="1" t="s">
        <v>0</v>
      </c>
      <c r="BN26" s="1" t="s">
        <v>2</v>
      </c>
      <c r="BO26" s="1" t="s">
        <v>3</v>
      </c>
      <c r="BP26" s="1" t="s">
        <v>31</v>
      </c>
      <c r="BT26" s="1" t="s">
        <v>0</v>
      </c>
      <c r="BU26" s="1" t="s">
        <v>2</v>
      </c>
      <c r="BV26" s="1" t="s">
        <v>3</v>
      </c>
      <c r="BW26" s="1" t="s">
        <v>31</v>
      </c>
      <c r="CB26" s="1" t="s">
        <v>0</v>
      </c>
      <c r="CC26" s="1" t="s">
        <v>2</v>
      </c>
      <c r="CD26" s="1" t="s">
        <v>3</v>
      </c>
      <c r="CE26" s="1" t="s">
        <v>31</v>
      </c>
      <c r="CJ26" s="1" t="s">
        <v>0</v>
      </c>
      <c r="CK26" s="1" t="s">
        <v>2</v>
      </c>
      <c r="CL26" s="1" t="s">
        <v>3</v>
      </c>
      <c r="CM26" s="1" t="s">
        <v>31</v>
      </c>
      <c r="CR26" s="1" t="s">
        <v>0</v>
      </c>
      <c r="CS26" s="1" t="s">
        <v>2</v>
      </c>
      <c r="CT26" s="1" t="s">
        <v>3</v>
      </c>
      <c r="CU26" s="1" t="s">
        <v>31</v>
      </c>
    </row>
    <row r="27" spans="1:99">
      <c r="B27" s="1" t="s">
        <v>4</v>
      </c>
      <c r="C27" s="10">
        <f>'Data Entry'!E22</f>
        <v>4600000</v>
      </c>
      <c r="D27" s="12">
        <f>'Data Entry'!AB22</f>
        <v>3.1818181818181817</v>
      </c>
      <c r="E27" s="12"/>
      <c r="J27" s="1" t="s">
        <v>4</v>
      </c>
      <c r="K27" s="10">
        <f>'Data Entry'!F22</f>
        <v>8100000</v>
      </c>
      <c r="L27" s="12">
        <f>'Data Entry'!AC22</f>
        <v>0.76086956521739135</v>
      </c>
      <c r="Q27" s="1" t="s">
        <v>4</v>
      </c>
      <c r="R27" s="10">
        <f>'Data Entry'!G22</f>
        <v>8600000</v>
      </c>
      <c r="S27" s="12">
        <f>'Data Entry'!AD22</f>
        <v>6.1728395061728392E-2</v>
      </c>
      <c r="Y27" s="1" t="s">
        <v>4</v>
      </c>
      <c r="Z27" s="10">
        <f>'Data Entry'!H22</f>
        <v>5820329</v>
      </c>
      <c r="AA27" s="12">
        <f>'Data Entry'!AE22</f>
        <v>-0.3232175581395349</v>
      </c>
      <c r="AG27" s="1" t="s">
        <v>4</v>
      </c>
      <c r="AH27" s="10">
        <f>'Data Entry'!I22</f>
        <v>2300000</v>
      </c>
      <c r="AI27" s="12">
        <f>'Data Entry'!AF22</f>
        <v>-0.604833335022814</v>
      </c>
      <c r="AO27" s="1" t="s">
        <v>4</v>
      </c>
      <c r="AP27" s="10">
        <f>'Data Entry'!J22</f>
        <v>3100000</v>
      </c>
      <c r="AQ27" s="12">
        <f>'Data Entry'!AG22</f>
        <v>0.34782608695652173</v>
      </c>
      <c r="AW27" s="1" t="s">
        <v>4</v>
      </c>
      <c r="AX27" s="10">
        <f>'Data Entry'!K22</f>
        <v>4100000</v>
      </c>
      <c r="AY27" s="12">
        <f>'Data Entry'!AH22</f>
        <v>0.32258064516129031</v>
      </c>
      <c r="BF27" s="1" t="s">
        <v>4</v>
      </c>
      <c r="BG27" s="10">
        <f>'Data Entry'!L22</f>
        <v>8400000</v>
      </c>
      <c r="BH27" s="12">
        <f>'Data Entry'!AI22</f>
        <v>1.0487804878048781</v>
      </c>
      <c r="BI27" s="12"/>
      <c r="BN27" s="1" t="s">
        <v>4</v>
      </c>
      <c r="BO27" s="10">
        <f>'Data Entry'!M22</f>
        <v>7800657</v>
      </c>
      <c r="BP27" s="12">
        <f>'Data Entry'!AJ22</f>
        <v>-7.1350357142857146E-2</v>
      </c>
      <c r="BU27" s="1" t="s">
        <v>4</v>
      </c>
      <c r="BV27" s="10">
        <f>'Data Entry'!N22</f>
        <v>5675554</v>
      </c>
      <c r="BW27" s="12">
        <f>'Data Entry'!AK22</f>
        <v>-0.27242615589943259</v>
      </c>
      <c r="CC27" s="1" t="s">
        <v>4</v>
      </c>
      <c r="CD27" s="10">
        <f>'Data Entry'!O22</f>
        <v>4321324</v>
      </c>
      <c r="CE27" s="12">
        <f>'Data Entry'!AL22</f>
        <v>-0.23860754386267843</v>
      </c>
      <c r="CK27" s="1" t="s">
        <v>4</v>
      </c>
      <c r="CL27" s="10">
        <f>'Data Entry'!P22</f>
        <v>6541123</v>
      </c>
      <c r="CM27" s="12">
        <f>'Data Entry'!AM22</f>
        <v>0.51368492619391648</v>
      </c>
      <c r="CS27" s="1" t="s">
        <v>4</v>
      </c>
      <c r="CT27" s="10">
        <f>'Data Entry'!Q22</f>
        <v>5987000</v>
      </c>
      <c r="CU27" s="12">
        <f>'Data Entry'!AN22</f>
        <v>-8.4713741050275307E-2</v>
      </c>
    </row>
    <row r="28" spans="1:99">
      <c r="B28" s="1" t="s">
        <v>5</v>
      </c>
      <c r="C28" s="10">
        <f>'Data Entry'!E23</f>
        <v>116000</v>
      </c>
      <c r="D28" s="12">
        <f>'Data Entry'!AB23</f>
        <v>1.6976744186046511</v>
      </c>
      <c r="E28" s="12"/>
      <c r="J28" s="1" t="s">
        <v>5</v>
      </c>
      <c r="K28" s="10">
        <f>'Data Entry'!F23</f>
        <v>169948</v>
      </c>
      <c r="L28" s="12">
        <f>'Data Entry'!AC23</f>
        <v>0.46506896551724136</v>
      </c>
      <c r="Q28" s="1" t="s">
        <v>5</v>
      </c>
      <c r="R28" s="10">
        <f>'Data Entry'!G23</f>
        <v>208554</v>
      </c>
      <c r="S28" s="12">
        <f>'Data Entry'!AD23</f>
        <v>0.2271636029844423</v>
      </c>
      <c r="Y28" s="1" t="s">
        <v>5</v>
      </c>
      <c r="Z28" s="10">
        <f>'Data Entry'!H23</f>
        <v>119170</v>
      </c>
      <c r="AA28" s="12">
        <f>'Data Entry'!AE23</f>
        <v>-0.42858923827881507</v>
      </c>
      <c r="AG28" s="1" t="s">
        <v>5</v>
      </c>
      <c r="AH28" s="10">
        <f>'Data Entry'!I23</f>
        <v>30300</v>
      </c>
      <c r="AI28" s="12">
        <f>'Data Entry'!AF23</f>
        <v>-0.74574137786355621</v>
      </c>
      <c r="AO28" s="1" t="s">
        <v>5</v>
      </c>
      <c r="AP28" s="10">
        <f>'Data Entry'!J23</f>
        <v>62500</v>
      </c>
      <c r="AQ28" s="12">
        <f>'Data Entry'!AG23</f>
        <v>1.0627062706270627</v>
      </c>
      <c r="AW28" s="1" t="s">
        <v>5</v>
      </c>
      <c r="AX28" s="10">
        <f>'Data Entry'!K23</f>
        <v>82500</v>
      </c>
      <c r="AY28" s="12">
        <f>'Data Entry'!AH23</f>
        <v>0.32</v>
      </c>
      <c r="BF28" s="1" t="s">
        <v>5</v>
      </c>
      <c r="BG28" s="10">
        <f>'Data Entry'!L23</f>
        <v>195900</v>
      </c>
      <c r="BH28" s="12">
        <f>'Data Entry'!AI23</f>
        <v>1.3745454545454545</v>
      </c>
      <c r="BI28" s="12"/>
      <c r="BN28" s="1" t="s">
        <v>5</v>
      </c>
      <c r="BO28" s="10">
        <f>'Data Entry'!M23</f>
        <v>77867</v>
      </c>
      <c r="BP28" s="12">
        <f>'Data Entry'!AJ23</f>
        <v>-0.60251659009698821</v>
      </c>
      <c r="BU28" s="1" t="s">
        <v>5</v>
      </c>
      <c r="BV28" s="10">
        <f>'Data Entry'!N23</f>
        <v>66576</v>
      </c>
      <c r="BW28" s="12">
        <f>'Data Entry'!AK23</f>
        <v>-0.14500366008707155</v>
      </c>
      <c r="CC28" s="1" t="s">
        <v>5</v>
      </c>
      <c r="CD28" s="10">
        <f>'Data Entry'!O23</f>
        <v>66578</v>
      </c>
      <c r="CE28" s="12">
        <f>'Data Entry'!AL23</f>
        <v>3.0040855563566449E-5</v>
      </c>
      <c r="CK28" s="1" t="s">
        <v>5</v>
      </c>
      <c r="CL28" s="10">
        <f>'Data Entry'!P23</f>
        <v>65788</v>
      </c>
      <c r="CM28" s="12">
        <f>'Data Entry'!AM23</f>
        <v>-1.1865781489380877E-2</v>
      </c>
      <c r="CS28" s="1" t="s">
        <v>5</v>
      </c>
      <c r="CT28" s="10">
        <f>'Data Entry'!Q23</f>
        <v>43566</v>
      </c>
      <c r="CU28" s="12">
        <f>'Data Entry'!AN23</f>
        <v>-0.33778196631604546</v>
      </c>
    </row>
    <row r="29" spans="1:99">
      <c r="B29" s="1" t="s">
        <v>6</v>
      </c>
      <c r="C29" s="10">
        <f>'Data Entry'!E24</f>
        <v>1700</v>
      </c>
      <c r="D29" s="12">
        <f>'Data Entry'!AB24</f>
        <v>0.70170170170170165</v>
      </c>
      <c r="E29" s="12"/>
      <c r="J29" s="1" t="s">
        <v>6</v>
      </c>
      <c r="K29" s="10">
        <f>'Data Entry'!F24</f>
        <v>1944</v>
      </c>
      <c r="L29" s="12">
        <f>'Data Entry'!AC24</f>
        <v>0.14352941176470588</v>
      </c>
      <c r="Q29" s="1" t="s">
        <v>6</v>
      </c>
      <c r="R29" s="10">
        <f>'Data Entry'!G24</f>
        <v>2305</v>
      </c>
      <c r="S29" s="12">
        <f>'Data Entry'!AD24</f>
        <v>0.18569958847736626</v>
      </c>
      <c r="Y29" s="1" t="s">
        <v>6</v>
      </c>
      <c r="Z29" s="10">
        <f>'Data Entry'!H24</f>
        <v>1518</v>
      </c>
      <c r="AA29" s="12">
        <f>'Data Entry'!AE24</f>
        <v>-0.34143167028199567</v>
      </c>
      <c r="AG29" s="1" t="s">
        <v>6</v>
      </c>
      <c r="AH29" s="10">
        <f>'Data Entry'!I24</f>
        <v>1043</v>
      </c>
      <c r="AI29" s="12">
        <f>'Data Entry'!AF24</f>
        <v>-0.31291172595520422</v>
      </c>
      <c r="AO29" s="1" t="s">
        <v>6</v>
      </c>
      <c r="AP29" s="10">
        <f>'Data Entry'!J24</f>
        <v>1271</v>
      </c>
      <c r="AQ29" s="12">
        <f>'Data Entry'!AG24</f>
        <v>0.21860019175455417</v>
      </c>
      <c r="AW29" s="1" t="s">
        <v>6</v>
      </c>
      <c r="AX29" s="10">
        <f>'Data Entry'!K24</f>
        <v>1400</v>
      </c>
      <c r="AY29" s="12">
        <f>'Data Entry'!AH24</f>
        <v>0.10149488591660111</v>
      </c>
      <c r="BF29" s="1" t="s">
        <v>6</v>
      </c>
      <c r="BG29" s="10">
        <f>'Data Entry'!L24</f>
        <v>2100</v>
      </c>
      <c r="BH29" s="12">
        <f>'Data Entry'!AI24</f>
        <v>0.5</v>
      </c>
      <c r="BI29" s="12"/>
      <c r="BN29" s="1" t="s">
        <v>6</v>
      </c>
      <c r="BO29" s="10">
        <f>'Data Entry'!M24</f>
        <v>2122</v>
      </c>
      <c r="BP29" s="12">
        <f>'Data Entry'!AJ24</f>
        <v>1.0476190476190476E-2</v>
      </c>
      <c r="BU29" s="1" t="s">
        <v>6</v>
      </c>
      <c r="BV29" s="10">
        <f>'Data Entry'!N24</f>
        <v>1234</v>
      </c>
      <c r="BW29" s="12">
        <f>'Data Entry'!AK24</f>
        <v>-0.41847313854853913</v>
      </c>
      <c r="CC29" s="1" t="s">
        <v>6</v>
      </c>
      <c r="CD29" s="10">
        <f>'Data Entry'!O24</f>
        <v>1222</v>
      </c>
      <c r="CE29" s="12">
        <f>'Data Entry'!AL24</f>
        <v>-9.7244732576985422E-3</v>
      </c>
      <c r="CK29" s="1" t="s">
        <v>6</v>
      </c>
      <c r="CL29" s="10">
        <f>'Data Entry'!P24</f>
        <v>987</v>
      </c>
      <c r="CM29" s="12">
        <f>'Data Entry'!AM24</f>
        <v>-0.19230769230769232</v>
      </c>
      <c r="CS29" s="1" t="s">
        <v>6</v>
      </c>
      <c r="CT29" s="10">
        <f>'Data Entry'!Q24</f>
        <v>1909</v>
      </c>
      <c r="CU29" s="12">
        <f>'Data Entry'!AN24</f>
        <v>0.93414387031408308</v>
      </c>
    </row>
    <row r="30" spans="1:99">
      <c r="B30" s="1" t="s">
        <v>7</v>
      </c>
      <c r="C30" s="10">
        <f>'Data Entry'!E25</f>
        <v>55645</v>
      </c>
      <c r="D30" s="12">
        <f>'Data Entry'!AB25</f>
        <v>-0.16644196776319731</v>
      </c>
      <c r="E30" s="12"/>
      <c r="J30" s="1" t="s">
        <v>7</v>
      </c>
      <c r="K30" s="10">
        <f>'Data Entry'!F25</f>
        <v>99437</v>
      </c>
      <c r="L30" s="12">
        <f>'Data Entry'!AC25</f>
        <v>0.7869889477940516</v>
      </c>
      <c r="Q30" s="1" t="s">
        <v>7</v>
      </c>
      <c r="R30" s="10">
        <f>'Data Entry'!G25</f>
        <v>109549</v>
      </c>
      <c r="S30" s="12">
        <f>'Data Entry'!AD25</f>
        <v>0.1016925289379205</v>
      </c>
      <c r="Y30" s="1" t="s">
        <v>7</v>
      </c>
      <c r="Z30" s="10">
        <f>'Data Entry'!H25</f>
        <v>66193</v>
      </c>
      <c r="AA30" s="12">
        <f>'Data Entry'!AE25</f>
        <v>-0.39576810377091531</v>
      </c>
      <c r="AG30" s="1" t="s">
        <v>7</v>
      </c>
      <c r="AH30" s="10">
        <f>'Data Entry'!I25</f>
        <v>41727</v>
      </c>
      <c r="AI30" s="12">
        <f>'Data Entry'!AF25</f>
        <v>-0.3696161225507229</v>
      </c>
      <c r="AO30" s="1" t="s">
        <v>7</v>
      </c>
      <c r="AP30" s="10">
        <f>'Data Entry'!J25</f>
        <v>38035</v>
      </c>
      <c r="AQ30" s="12">
        <f>'Data Entry'!AG25</f>
        <v>-8.8479881132120686E-2</v>
      </c>
      <c r="AW30" s="1" t="s">
        <v>7</v>
      </c>
      <c r="AX30" s="10">
        <f>'Data Entry'!K25</f>
        <v>41512</v>
      </c>
      <c r="AY30" s="12">
        <f>'Data Entry'!AH25</f>
        <v>9.1415801235703961E-2</v>
      </c>
      <c r="BF30" s="1" t="s">
        <v>7</v>
      </c>
      <c r="BG30" s="10">
        <f>'Data Entry'!L25</f>
        <v>111661</v>
      </c>
      <c r="BH30" s="12">
        <f>'Data Entry'!AI25</f>
        <v>1.6898487184428599</v>
      </c>
      <c r="BI30" s="12"/>
      <c r="BN30" s="1" t="s">
        <v>7</v>
      </c>
      <c r="BO30" s="10">
        <f>'Data Entry'!M25</f>
        <v>100989</v>
      </c>
      <c r="BP30" s="12">
        <f>'Data Entry'!AJ25</f>
        <v>-9.5574999328324126E-2</v>
      </c>
      <c r="BU30" s="1" t="s">
        <v>7</v>
      </c>
      <c r="BV30" s="10">
        <f>'Data Entry'!N25</f>
        <v>66543</v>
      </c>
      <c r="BW30" s="12">
        <f>'Data Entry'!AK25</f>
        <v>-0.34108665300181207</v>
      </c>
      <c r="CC30" s="1" t="s">
        <v>7</v>
      </c>
      <c r="CD30" s="10">
        <f>'Data Entry'!O25</f>
        <v>87890</v>
      </c>
      <c r="CE30" s="12">
        <f>'Data Entry'!AL25</f>
        <v>0.32080008415610961</v>
      </c>
      <c r="CK30" s="1" t="s">
        <v>7</v>
      </c>
      <c r="CL30" s="10">
        <f>'Data Entry'!P25</f>
        <v>57666</v>
      </c>
      <c r="CM30" s="12">
        <f>'Data Entry'!AM25</f>
        <v>-0.34388440095574013</v>
      </c>
      <c r="CS30" s="1" t="s">
        <v>7</v>
      </c>
      <c r="CT30" s="10">
        <f>'Data Entry'!Q25</f>
        <v>54675</v>
      </c>
      <c r="CU30" s="12">
        <f>'Data Entry'!AN25</f>
        <v>-5.1867651649152011E-2</v>
      </c>
    </row>
    <row r="31" spans="1:99">
      <c r="C31" s="10"/>
      <c r="D31" s="12"/>
      <c r="E31" s="12"/>
      <c r="K31" s="10"/>
      <c r="L31" s="12"/>
      <c r="R31" s="10"/>
      <c r="S31" s="12"/>
      <c r="Z31" s="10"/>
      <c r="AA31" s="12"/>
      <c r="AH31" s="10"/>
      <c r="AI31" s="12"/>
      <c r="AP31" s="10"/>
      <c r="AQ31" s="12"/>
      <c r="AX31" s="10"/>
      <c r="AY31" s="12"/>
      <c r="BG31" s="10"/>
      <c r="BH31" s="12"/>
      <c r="BI31" s="12"/>
      <c r="BO31" s="10"/>
      <c r="BP31" s="12"/>
      <c r="BV31" s="10"/>
      <c r="BW31" s="12"/>
      <c r="CD31" s="10"/>
      <c r="CE31" s="12"/>
      <c r="CL31" s="10"/>
      <c r="CM31" s="12"/>
      <c r="CT31" s="10"/>
      <c r="CU31" s="12"/>
    </row>
    <row r="33" spans="1:99">
      <c r="A33" s="1" t="s">
        <v>24</v>
      </c>
      <c r="B33" s="1" t="s">
        <v>2</v>
      </c>
      <c r="C33" s="1" t="s">
        <v>3</v>
      </c>
      <c r="D33" s="1" t="s">
        <v>31</v>
      </c>
      <c r="I33" s="1" t="s">
        <v>24</v>
      </c>
      <c r="J33" s="1" t="s">
        <v>2</v>
      </c>
      <c r="K33" s="10" t="s">
        <v>3</v>
      </c>
      <c r="L33" s="1" t="s">
        <v>31</v>
      </c>
      <c r="P33" s="1" t="s">
        <v>24</v>
      </c>
      <c r="Q33" s="1" t="s">
        <v>2</v>
      </c>
      <c r="R33" s="1" t="s">
        <v>3</v>
      </c>
      <c r="S33" s="1" t="s">
        <v>31</v>
      </c>
      <c r="X33" s="1" t="s">
        <v>24</v>
      </c>
      <c r="Y33" s="1" t="s">
        <v>2</v>
      </c>
      <c r="Z33" s="1" t="s">
        <v>3</v>
      </c>
      <c r="AA33" s="1" t="s">
        <v>31</v>
      </c>
      <c r="AF33" s="1" t="s">
        <v>24</v>
      </c>
      <c r="AG33" s="1" t="s">
        <v>2</v>
      </c>
      <c r="AH33" s="1" t="s">
        <v>3</v>
      </c>
      <c r="AI33" s="1" t="s">
        <v>31</v>
      </c>
      <c r="AN33" s="1" t="s">
        <v>24</v>
      </c>
      <c r="AO33" s="1" t="s">
        <v>2</v>
      </c>
      <c r="AP33" s="1" t="s">
        <v>3</v>
      </c>
      <c r="AQ33" s="1" t="s">
        <v>31</v>
      </c>
      <c r="AV33" s="1" t="s">
        <v>24</v>
      </c>
      <c r="AW33" s="1" t="s">
        <v>2</v>
      </c>
      <c r="AX33" s="1" t="s">
        <v>3</v>
      </c>
      <c r="AY33" s="1" t="s">
        <v>31</v>
      </c>
      <c r="BE33" s="1" t="s">
        <v>24</v>
      </c>
      <c r="BF33" s="1" t="s">
        <v>2</v>
      </c>
      <c r="BG33" s="1" t="s">
        <v>3</v>
      </c>
      <c r="BH33" s="1" t="s">
        <v>31</v>
      </c>
      <c r="BM33" s="1" t="s">
        <v>24</v>
      </c>
      <c r="BN33" s="1" t="s">
        <v>2</v>
      </c>
      <c r="BO33" s="1" t="s">
        <v>3</v>
      </c>
      <c r="BP33" s="1" t="s">
        <v>31</v>
      </c>
      <c r="BT33" s="1" t="s">
        <v>24</v>
      </c>
      <c r="BU33" s="1" t="s">
        <v>2</v>
      </c>
      <c r="BV33" s="1" t="s">
        <v>3</v>
      </c>
      <c r="BW33" s="1" t="s">
        <v>31</v>
      </c>
      <c r="CB33" s="1" t="s">
        <v>24</v>
      </c>
      <c r="CC33" s="1" t="s">
        <v>2</v>
      </c>
      <c r="CD33" s="1" t="s">
        <v>3</v>
      </c>
      <c r="CE33" s="1" t="s">
        <v>31</v>
      </c>
      <c r="CJ33" s="1" t="s">
        <v>24</v>
      </c>
      <c r="CK33" s="1" t="s">
        <v>2</v>
      </c>
      <c r="CL33" s="1" t="s">
        <v>3</v>
      </c>
      <c r="CM33" s="1" t="s">
        <v>31</v>
      </c>
      <c r="CR33" s="1" t="s">
        <v>24</v>
      </c>
      <c r="CS33" s="1" t="s">
        <v>2</v>
      </c>
      <c r="CT33" s="1" t="s">
        <v>3</v>
      </c>
      <c r="CU33" s="1" t="s">
        <v>31</v>
      </c>
    </row>
    <row r="34" spans="1:99">
      <c r="B34" s="1" t="s">
        <v>20</v>
      </c>
      <c r="C34" s="10">
        <f>'Data Entry'!E26</f>
        <v>32400</v>
      </c>
      <c r="D34" s="13">
        <f>'Data Entry'!AB26</f>
        <v>0.84090909090909094</v>
      </c>
      <c r="E34" s="13"/>
      <c r="J34" s="1" t="s">
        <v>20</v>
      </c>
      <c r="K34" s="10">
        <f>'Data Entry'!F26</f>
        <v>17000</v>
      </c>
      <c r="L34" s="13">
        <f>'Data Entry'!AC26</f>
        <v>-0.47530864197530864</v>
      </c>
      <c r="Q34" s="1" t="s">
        <v>20</v>
      </c>
      <c r="R34" s="10">
        <f>'Data Entry'!G26</f>
        <v>22400</v>
      </c>
      <c r="S34" s="13">
        <f>'Data Entry'!AD26</f>
        <v>0.31764705882352939</v>
      </c>
      <c r="Y34" s="1" t="s">
        <v>20</v>
      </c>
      <c r="Z34" s="10">
        <f>'Data Entry'!H26</f>
        <v>15600</v>
      </c>
      <c r="AA34" s="13">
        <f>'Data Entry'!AE26</f>
        <v>-0.30357142857142855</v>
      </c>
      <c r="AG34" s="1" t="s">
        <v>20</v>
      </c>
      <c r="AH34" s="10">
        <f>'Data Entry'!I26</f>
        <v>5199</v>
      </c>
      <c r="AI34" s="13">
        <f>'Data Entry'!AF26</f>
        <v>-0.66673076923076924</v>
      </c>
      <c r="AO34" s="1" t="s">
        <v>20</v>
      </c>
      <c r="AP34" s="10">
        <f>'Data Entry'!J26</f>
        <v>4745</v>
      </c>
      <c r="AQ34" s="13">
        <f>'Data Entry'!AG26</f>
        <v>-8.7324485477976541E-2</v>
      </c>
      <c r="AW34" s="1" t="s">
        <v>20</v>
      </c>
      <c r="AX34" s="10">
        <f>'Data Entry'!K26</f>
        <v>5639</v>
      </c>
      <c r="AY34" s="13">
        <f>'Data Entry'!AH26</f>
        <v>0.18840885142255004</v>
      </c>
      <c r="BF34" s="1" t="s">
        <v>20</v>
      </c>
      <c r="BG34" s="10">
        <f>'Data Entry'!L26</f>
        <v>16500</v>
      </c>
      <c r="BH34" s="13">
        <f>'Data Entry'!AI26</f>
        <v>1.9260507182124491</v>
      </c>
      <c r="BI34" s="13"/>
      <c r="BN34" s="1" t="s">
        <v>20</v>
      </c>
      <c r="BO34" s="10">
        <f>'Data Entry'!M26</f>
        <v>4354</v>
      </c>
      <c r="BP34" s="13">
        <f>'Data Entry'!AJ26</f>
        <v>-0.73612121212121218</v>
      </c>
      <c r="BU34" s="1" t="s">
        <v>20</v>
      </c>
      <c r="BV34" s="10">
        <f>'Data Entry'!N26</f>
        <v>3243</v>
      </c>
      <c r="BW34" s="13">
        <f>'Data Entry'!AK26</f>
        <v>-0.25516766192007351</v>
      </c>
      <c r="CC34" s="1" t="s">
        <v>20</v>
      </c>
      <c r="CD34" s="10">
        <f>'Data Entry'!O26</f>
        <v>3453</v>
      </c>
      <c r="CE34" s="13">
        <f>'Data Entry'!AL26</f>
        <v>6.475485661424607E-2</v>
      </c>
      <c r="CK34" s="1" t="s">
        <v>20</v>
      </c>
      <c r="CL34" s="10">
        <f>'Data Entry'!P26</f>
        <v>5555</v>
      </c>
      <c r="CM34" s="13">
        <f>'Data Entry'!AM26</f>
        <v>0.60874601795540106</v>
      </c>
      <c r="CS34" s="1" t="s">
        <v>20</v>
      </c>
      <c r="CT34" s="10">
        <f>'Data Entry'!Q26</f>
        <v>4365</v>
      </c>
      <c r="CU34" s="13">
        <f>'Data Entry'!AN26</f>
        <v>-0.21422142214221424</v>
      </c>
    </row>
    <row r="35" spans="1:99">
      <c r="B35" s="1" t="s">
        <v>5</v>
      </c>
      <c r="C35" s="10">
        <f>'Data Entry'!E27</f>
        <v>348</v>
      </c>
      <c r="D35" s="13">
        <f>'Data Entry'!AB27</f>
        <v>1.5035971223021583</v>
      </c>
      <c r="E35" s="13"/>
      <c r="J35" s="1" t="s">
        <v>5</v>
      </c>
      <c r="K35" s="10">
        <f>'Data Entry'!F27</f>
        <v>611</v>
      </c>
      <c r="L35" s="13">
        <f>'Data Entry'!AC27</f>
        <v>0.75574712643678166</v>
      </c>
      <c r="Q35" s="1" t="s">
        <v>5</v>
      </c>
      <c r="R35" s="10">
        <f>'Data Entry'!G27</f>
        <v>928</v>
      </c>
      <c r="S35" s="13">
        <f>'Data Entry'!AD27</f>
        <v>0.51882160392798693</v>
      </c>
      <c r="Y35" s="1" t="s">
        <v>5</v>
      </c>
      <c r="Z35" s="10">
        <f>'Data Entry'!H27</f>
        <v>660</v>
      </c>
      <c r="AA35" s="13">
        <f>'Data Entry'!AE27</f>
        <v>-0.28879310344827586</v>
      </c>
      <c r="AG35" s="1" t="s">
        <v>5</v>
      </c>
      <c r="AH35" s="10">
        <f>'Data Entry'!I27</f>
        <v>236</v>
      </c>
      <c r="AI35" s="13">
        <f>'Data Entry'!AF27</f>
        <v>-0.64242424242424245</v>
      </c>
      <c r="AO35" s="1" t="s">
        <v>5</v>
      </c>
      <c r="AP35" s="10">
        <f>'Data Entry'!J27</f>
        <v>329</v>
      </c>
      <c r="AQ35" s="13">
        <f>'Data Entry'!AG27</f>
        <v>0.3940677966101695</v>
      </c>
      <c r="AW35" s="1" t="s">
        <v>5</v>
      </c>
      <c r="AX35" s="10">
        <f>'Data Entry'!K27</f>
        <v>388</v>
      </c>
      <c r="AY35" s="13">
        <f>'Data Entry'!AH27</f>
        <v>0.17933130699088146</v>
      </c>
      <c r="BF35" s="1" t="s">
        <v>5</v>
      </c>
      <c r="BG35" s="10">
        <f>'Data Entry'!L27</f>
        <v>623</v>
      </c>
      <c r="BH35" s="13">
        <f>'Data Entry'!AI27</f>
        <v>0.60567010309278346</v>
      </c>
      <c r="BI35" s="13"/>
      <c r="BN35" s="1" t="s">
        <v>5</v>
      </c>
      <c r="BO35" s="10">
        <f>'Data Entry'!M27</f>
        <v>343</v>
      </c>
      <c r="BP35" s="13">
        <f>'Data Entry'!AJ27</f>
        <v>-0.449438202247191</v>
      </c>
      <c r="BU35" s="1" t="s">
        <v>5</v>
      </c>
      <c r="BV35" s="10">
        <f>'Data Entry'!N27</f>
        <v>454</v>
      </c>
      <c r="BW35" s="13">
        <f>'Data Entry'!AK27</f>
        <v>0.32361516034985421</v>
      </c>
      <c r="CC35" s="1" t="s">
        <v>5</v>
      </c>
      <c r="CD35" s="10">
        <f>'Data Entry'!O27</f>
        <v>576</v>
      </c>
      <c r="CE35" s="13">
        <f>'Data Entry'!AL27</f>
        <v>0.2687224669603524</v>
      </c>
      <c r="CK35" s="1" t="s">
        <v>5</v>
      </c>
      <c r="CL35" s="10">
        <f>'Data Entry'!P27</f>
        <v>538</v>
      </c>
      <c r="CM35" s="13">
        <f>'Data Entry'!AM27</f>
        <v>-6.5972222222222224E-2</v>
      </c>
      <c r="CS35" s="1" t="s">
        <v>5</v>
      </c>
      <c r="CT35" s="10">
        <f>'Data Entry'!Q27</f>
        <v>527</v>
      </c>
      <c r="CU35" s="13">
        <f>'Data Entry'!AN27</f>
        <v>-2.0446096654275093E-2</v>
      </c>
    </row>
    <row r="38" spans="1:99">
      <c r="A38" s="1" t="s">
        <v>25</v>
      </c>
      <c r="B38" s="1" t="s">
        <v>2</v>
      </c>
      <c r="C38" s="1" t="s">
        <v>3</v>
      </c>
      <c r="D38" s="1" t="s">
        <v>31</v>
      </c>
      <c r="I38" s="1" t="s">
        <v>25</v>
      </c>
      <c r="J38" s="1" t="s">
        <v>2</v>
      </c>
      <c r="K38" s="10" t="s">
        <v>3</v>
      </c>
      <c r="L38" s="1" t="s">
        <v>31</v>
      </c>
      <c r="P38" s="1" t="s">
        <v>25</v>
      </c>
      <c r="Q38" s="1" t="s">
        <v>2</v>
      </c>
      <c r="R38" s="1" t="s">
        <v>3</v>
      </c>
      <c r="S38" s="1" t="s">
        <v>31</v>
      </c>
      <c r="X38" s="1" t="s">
        <v>25</v>
      </c>
      <c r="Y38" s="1" t="s">
        <v>2</v>
      </c>
      <c r="Z38" s="1" t="s">
        <v>3</v>
      </c>
      <c r="AA38" s="1" t="s">
        <v>31</v>
      </c>
      <c r="AF38" s="1" t="s">
        <v>25</v>
      </c>
      <c r="AG38" s="1" t="s">
        <v>2</v>
      </c>
      <c r="AH38" s="1" t="s">
        <v>3</v>
      </c>
      <c r="AI38" s="1" t="s">
        <v>31</v>
      </c>
      <c r="AN38" s="1" t="s">
        <v>25</v>
      </c>
      <c r="AO38" s="1" t="s">
        <v>2</v>
      </c>
      <c r="AP38" s="1" t="s">
        <v>3</v>
      </c>
      <c r="AQ38" s="1" t="s">
        <v>31</v>
      </c>
      <c r="AV38" s="1" t="s">
        <v>25</v>
      </c>
      <c r="AW38" s="1" t="s">
        <v>2</v>
      </c>
      <c r="AX38" s="1" t="s">
        <v>3</v>
      </c>
      <c r="AY38" s="1" t="s">
        <v>31</v>
      </c>
      <c r="BE38" s="1" t="s">
        <v>25</v>
      </c>
      <c r="BF38" s="1" t="s">
        <v>2</v>
      </c>
      <c r="BG38" s="1" t="s">
        <v>3</v>
      </c>
      <c r="BH38" s="1" t="s">
        <v>31</v>
      </c>
      <c r="BM38" s="1" t="s">
        <v>25</v>
      </c>
      <c r="BN38" s="1" t="s">
        <v>2</v>
      </c>
      <c r="BO38" s="1" t="s">
        <v>3</v>
      </c>
      <c r="BP38" s="1" t="s">
        <v>31</v>
      </c>
      <c r="BT38" s="1" t="s">
        <v>25</v>
      </c>
      <c r="BU38" s="1" t="s">
        <v>2</v>
      </c>
      <c r="BV38" s="1" t="s">
        <v>3</v>
      </c>
      <c r="BW38" s="1" t="s">
        <v>31</v>
      </c>
      <c r="CB38" s="1" t="s">
        <v>25</v>
      </c>
      <c r="CC38" s="1" t="s">
        <v>2</v>
      </c>
      <c r="CD38" s="1" t="s">
        <v>3</v>
      </c>
      <c r="CE38" s="1" t="s">
        <v>31</v>
      </c>
      <c r="CJ38" s="1" t="s">
        <v>25</v>
      </c>
      <c r="CK38" s="1" t="s">
        <v>2</v>
      </c>
      <c r="CL38" s="1" t="s">
        <v>3</v>
      </c>
      <c r="CM38" s="1" t="s">
        <v>31</v>
      </c>
      <c r="CR38" s="1" t="s">
        <v>25</v>
      </c>
      <c r="CS38" s="1" t="s">
        <v>2</v>
      </c>
      <c r="CT38" s="1" t="s">
        <v>3</v>
      </c>
      <c r="CU38" s="1" t="s">
        <v>31</v>
      </c>
    </row>
    <row r="39" spans="1:99">
      <c r="B39" s="1" t="s">
        <v>20</v>
      </c>
      <c r="C39" s="10">
        <f>'Data Entry'!E28</f>
        <v>2700000</v>
      </c>
      <c r="D39" s="12">
        <f>'Data Entry'!AB28</f>
        <v>1.5233644859813085</v>
      </c>
      <c r="E39" s="12"/>
      <c r="J39" s="1" t="s">
        <v>20</v>
      </c>
      <c r="K39" s="10">
        <f>'Data Entry'!F28</f>
        <v>4400000</v>
      </c>
      <c r="L39" s="12">
        <f>'Data Entry'!AC28</f>
        <v>0.62962962962962965</v>
      </c>
      <c r="Q39" s="1" t="s">
        <v>20</v>
      </c>
      <c r="R39" s="10">
        <f>'Data Entry'!G28</f>
        <v>4300000</v>
      </c>
      <c r="S39" s="12">
        <f>'Data Entry'!AD28</f>
        <v>-2.2727272727272728E-2</v>
      </c>
      <c r="Y39" s="1" t="s">
        <v>20</v>
      </c>
      <c r="Z39" s="10">
        <f>'Data Entry'!H28</f>
        <v>5000000</v>
      </c>
      <c r="AA39" s="12">
        <f>'Data Entry'!AE28</f>
        <v>0.16279069767441862</v>
      </c>
      <c r="AG39" s="1" t="s">
        <v>20</v>
      </c>
      <c r="AH39" s="10">
        <f>'Data Entry'!I28</f>
        <v>3200000</v>
      </c>
      <c r="AI39" s="12">
        <f>'Data Entry'!AF28</f>
        <v>-0.36</v>
      </c>
      <c r="AO39" s="1" t="s">
        <v>20</v>
      </c>
      <c r="AP39" s="10">
        <f>'Data Entry'!J28</f>
        <v>3600000</v>
      </c>
      <c r="AQ39" s="12">
        <f>'Data Entry'!AG28</f>
        <v>0.125</v>
      </c>
      <c r="AW39" s="1" t="s">
        <v>20</v>
      </c>
      <c r="AX39" s="10">
        <f>'Data Entry'!K28</f>
        <v>3500000</v>
      </c>
      <c r="AY39" s="12">
        <f>'Data Entry'!AH28</f>
        <v>-2.7777777777777776E-2</v>
      </c>
      <c r="BF39" s="1" t="s">
        <v>20</v>
      </c>
      <c r="BG39" s="10">
        <f>'Data Entry'!L28</f>
        <v>6700000</v>
      </c>
      <c r="BH39" s="12">
        <f>'Data Entry'!AI28</f>
        <v>0.91428571428571426</v>
      </c>
      <c r="BI39" s="12"/>
      <c r="BN39" s="1" t="s">
        <v>20</v>
      </c>
      <c r="BO39" s="10">
        <f>'Data Entry'!M28</f>
        <v>6545768</v>
      </c>
      <c r="BP39" s="12">
        <f>'Data Entry'!AJ28</f>
        <v>-2.3019701492537313E-2</v>
      </c>
      <c r="BU39" s="1" t="s">
        <v>20</v>
      </c>
      <c r="BV39" s="10">
        <f>'Data Entry'!N28</f>
        <v>5454677</v>
      </c>
      <c r="BW39" s="12">
        <f>'Data Entry'!AK28</f>
        <v>-0.16668647590320954</v>
      </c>
      <c r="CC39" s="1" t="s">
        <v>20</v>
      </c>
      <c r="CD39" s="10">
        <f>'Data Entry'!O28</f>
        <v>3232111</v>
      </c>
      <c r="CE39" s="12">
        <f>'Data Entry'!AL28</f>
        <v>-0.40746060674170076</v>
      </c>
      <c r="CK39" s="1" t="s">
        <v>20</v>
      </c>
      <c r="CL39" s="10">
        <f>'Data Entry'!P28</f>
        <v>6500000</v>
      </c>
      <c r="CM39" s="12">
        <f>'Data Entry'!AM28</f>
        <v>1.0110695455694436</v>
      </c>
      <c r="CS39" s="1" t="s">
        <v>20</v>
      </c>
      <c r="CT39" s="10">
        <f>'Data Entry'!Q28</f>
        <v>5444333</v>
      </c>
      <c r="CU39" s="12">
        <f>'Data Entry'!AN28</f>
        <v>-0.16241030769230769</v>
      </c>
    </row>
    <row r="40" spans="1:99">
      <c r="B40" s="1" t="s">
        <v>26</v>
      </c>
      <c r="C40" s="10">
        <f>'Data Entry'!E29</f>
        <v>286700</v>
      </c>
      <c r="D40" s="13">
        <f>'Data Entry'!AB29</f>
        <v>5.7153392330383482E-2</v>
      </c>
      <c r="E40" s="13"/>
      <c r="J40" s="1" t="s">
        <v>26</v>
      </c>
      <c r="K40" s="10">
        <f>'Data Entry'!F29</f>
        <v>396200</v>
      </c>
      <c r="L40" s="13">
        <f>'Data Entry'!AC29</f>
        <v>0.38193233344959887</v>
      </c>
      <c r="Q40" s="1" t="s">
        <v>26</v>
      </c>
      <c r="R40" s="10">
        <f>'Data Entry'!G29</f>
        <v>341100</v>
      </c>
      <c r="S40" s="13">
        <f>'Data Entry'!AD29</f>
        <v>-0.13907117617364967</v>
      </c>
      <c r="Y40" s="1" t="s">
        <v>26</v>
      </c>
      <c r="Z40" s="10">
        <f>'Data Entry'!H29</f>
        <v>430000</v>
      </c>
      <c r="AA40" s="13">
        <f>'Data Entry'!AE29</f>
        <v>0.26062738199941365</v>
      </c>
      <c r="AG40" s="1" t="s">
        <v>26</v>
      </c>
      <c r="AH40" s="10">
        <f>'Data Entry'!I29</f>
        <v>257100</v>
      </c>
      <c r="AI40" s="13">
        <f>'Data Entry'!AF29</f>
        <v>-0.40209302325581397</v>
      </c>
      <c r="AO40" s="1" t="s">
        <v>26</v>
      </c>
      <c r="AP40" s="10">
        <f>'Data Entry'!J29</f>
        <v>464400</v>
      </c>
      <c r="AQ40" s="13">
        <f>'Data Entry'!AG29</f>
        <v>0.80630105017502918</v>
      </c>
      <c r="AW40" s="1" t="s">
        <v>26</v>
      </c>
      <c r="AX40" s="10">
        <f>'Data Entry'!K29</f>
        <v>382132</v>
      </c>
      <c r="AY40" s="13">
        <f>'Data Entry'!AH29</f>
        <v>-0.17714900947459086</v>
      </c>
      <c r="BF40" s="1" t="s">
        <v>26</v>
      </c>
      <c r="BG40" s="10">
        <f>'Data Entry'!L29</f>
        <v>590262</v>
      </c>
      <c r="BH40" s="12">
        <f>'Data Entry'!AI29</f>
        <v>0.54465472663896242</v>
      </c>
      <c r="BI40" s="13"/>
      <c r="BN40" s="1" t="s">
        <v>26</v>
      </c>
      <c r="BO40" s="10">
        <f>'Data Entry'!M29</f>
        <v>324356</v>
      </c>
      <c r="BP40" s="12">
        <f>'Data Entry'!AJ29</f>
        <v>-0.45048808834043186</v>
      </c>
      <c r="BU40" s="1" t="s">
        <v>26</v>
      </c>
      <c r="BV40" s="10">
        <f>'Data Entry'!N29</f>
        <v>657444</v>
      </c>
      <c r="BW40" s="12">
        <f>'Data Entry'!AK29</f>
        <v>1.0269210373786828</v>
      </c>
      <c r="CC40" s="1" t="s">
        <v>26</v>
      </c>
      <c r="CD40" s="10">
        <f>'Data Entry'!O29</f>
        <v>456444</v>
      </c>
      <c r="CE40" s="12">
        <f>'Data Entry'!AL29</f>
        <v>-0.30572946136857282</v>
      </c>
      <c r="CK40" s="1" t="s">
        <v>26</v>
      </c>
      <c r="CL40" s="10">
        <f>'Data Entry'!P29</f>
        <v>756444</v>
      </c>
      <c r="CM40" s="12">
        <f>'Data Entry'!AM29</f>
        <v>0.65725477824223777</v>
      </c>
      <c r="CS40" s="1" t="s">
        <v>26</v>
      </c>
      <c r="CT40" s="10">
        <f>'Data Entry'!Q29</f>
        <v>546555</v>
      </c>
      <c r="CU40" s="12">
        <f>'Data Entry'!AN29</f>
        <v>-0.27746799498707109</v>
      </c>
    </row>
    <row r="41" spans="1:99">
      <c r="B41" s="1" t="s">
        <v>27</v>
      </c>
      <c r="C41" s="10">
        <f>'Data Entry'!E30</f>
        <v>27400</v>
      </c>
      <c r="D41" s="12">
        <f>'Data Entry'!AB30</f>
        <v>0.90277777777777779</v>
      </c>
      <c r="E41" s="12"/>
      <c r="J41" s="1" t="s">
        <v>27</v>
      </c>
      <c r="K41" s="10">
        <f>'Data Entry'!F30</f>
        <v>48600</v>
      </c>
      <c r="L41" s="12">
        <f>'Data Entry'!AC30</f>
        <v>0.77372262773722633</v>
      </c>
      <c r="Q41" s="1" t="s">
        <v>27</v>
      </c>
      <c r="R41" s="10">
        <f>'Data Entry'!G30</f>
        <v>58500</v>
      </c>
      <c r="S41" s="12">
        <f>'Data Entry'!AD30</f>
        <v>0.20370370370370369</v>
      </c>
      <c r="Y41" s="1" t="s">
        <v>27</v>
      </c>
      <c r="Z41" s="10">
        <f>'Data Entry'!H30</f>
        <v>500000</v>
      </c>
      <c r="AA41" s="12">
        <f>'Data Entry'!AE30</f>
        <v>7.5470085470085468</v>
      </c>
      <c r="AG41" s="1" t="s">
        <v>27</v>
      </c>
      <c r="AH41" s="10">
        <f>'Data Entry'!I30</f>
        <v>20900</v>
      </c>
      <c r="AI41" s="12">
        <f>'Data Entry'!AF30</f>
        <v>-0.95820000000000005</v>
      </c>
      <c r="AO41" s="1" t="s">
        <v>27</v>
      </c>
      <c r="AP41" s="10">
        <f>'Data Entry'!J30</f>
        <v>34000</v>
      </c>
      <c r="AQ41" s="12">
        <f>'Data Entry'!AG30</f>
        <v>0.62679425837320579</v>
      </c>
      <c r="AW41" s="1" t="s">
        <v>27</v>
      </c>
      <c r="AX41" s="10">
        <f>'Data Entry'!K30</f>
        <v>34800</v>
      </c>
      <c r="AY41" s="12">
        <f>'Data Entry'!AH30</f>
        <v>2.3529411764705882E-2</v>
      </c>
      <c r="BF41" s="1" t="s">
        <v>27</v>
      </c>
      <c r="BG41" s="10">
        <f>'Data Entry'!L30</f>
        <v>56100</v>
      </c>
      <c r="BH41" s="12">
        <f>'Data Entry'!AI30</f>
        <v>0.61206896551724133</v>
      </c>
      <c r="BI41" s="12"/>
      <c r="BN41" s="1" t="s">
        <v>27</v>
      </c>
      <c r="BO41" s="10">
        <f>'Data Entry'!M30</f>
        <v>44323</v>
      </c>
      <c r="BP41" s="12">
        <f>'Data Entry'!AJ30</f>
        <v>-0.20992869875222817</v>
      </c>
      <c r="BU41" s="1" t="s">
        <v>27</v>
      </c>
      <c r="BV41" s="10">
        <f>'Data Entry'!N30</f>
        <v>42345</v>
      </c>
      <c r="BW41" s="12">
        <f>'Data Entry'!AK30</f>
        <v>-4.4626943122081084E-2</v>
      </c>
      <c r="CC41" s="1" t="s">
        <v>27</v>
      </c>
      <c r="CD41" s="10">
        <f>'Data Entry'!O30</f>
        <v>53423</v>
      </c>
      <c r="CE41" s="12">
        <f>'Data Entry'!AL30</f>
        <v>0.26161294131538554</v>
      </c>
      <c r="CK41" s="1" t="s">
        <v>27</v>
      </c>
      <c r="CL41" s="10">
        <f>'Data Entry'!P30</f>
        <v>61234</v>
      </c>
      <c r="CM41" s="12">
        <f>'Data Entry'!AM30</f>
        <v>0.14621043370832787</v>
      </c>
      <c r="CS41" s="1" t="s">
        <v>27</v>
      </c>
      <c r="CT41" s="10">
        <f>'Data Entry'!Q30</f>
        <v>49876</v>
      </c>
      <c r="CU41" s="12">
        <f>'Data Entry'!AN30</f>
        <v>-0.18548518796746905</v>
      </c>
    </row>
    <row r="42" spans="1:99">
      <c r="B42" s="1" t="s">
        <v>28</v>
      </c>
      <c r="C42" s="10">
        <f>'Data Entry'!E31</f>
        <v>530</v>
      </c>
      <c r="D42" s="12">
        <f>'Data Entry'!AB31</f>
        <v>-0.32569974554707382</v>
      </c>
      <c r="E42" s="12"/>
      <c r="J42" s="1" t="s">
        <v>28</v>
      </c>
      <c r="K42" s="10">
        <f>'Data Entry'!F31</f>
        <v>934</v>
      </c>
      <c r="L42" s="12">
        <f>'Data Entry'!AC31</f>
        <v>0.76226415094339628</v>
      </c>
      <c r="Q42" s="1" t="s">
        <v>28</v>
      </c>
      <c r="R42" s="10">
        <f>'Data Entry'!G31</f>
        <v>1100</v>
      </c>
      <c r="S42" s="12">
        <f>'Data Entry'!AD31</f>
        <v>0.17773019271948609</v>
      </c>
      <c r="Y42" s="1" t="s">
        <v>28</v>
      </c>
      <c r="Z42" s="10">
        <f>'Data Entry'!H31</f>
        <v>957</v>
      </c>
      <c r="AA42" s="12">
        <f>'Data Entry'!AE31</f>
        <v>-0.13</v>
      </c>
      <c r="AG42" s="1" t="s">
        <v>28</v>
      </c>
      <c r="AH42" s="10">
        <f>'Data Entry'!I31</f>
        <v>604</v>
      </c>
      <c r="AI42" s="12">
        <f>'Data Entry'!AF31</f>
        <v>-0.36886102403343785</v>
      </c>
      <c r="AO42" s="1" t="s">
        <v>28</v>
      </c>
      <c r="AP42" s="10">
        <f>'Data Entry'!J31</f>
        <v>699</v>
      </c>
      <c r="AQ42" s="12">
        <f>'Data Entry'!AG31</f>
        <v>0.15728476821192053</v>
      </c>
      <c r="AW42" s="1" t="s">
        <v>28</v>
      </c>
      <c r="AX42" s="10">
        <f>'Data Entry'!K31</f>
        <v>750</v>
      </c>
      <c r="AY42" s="12">
        <f>'Data Entry'!AH31</f>
        <v>7.2961373390557943E-2</v>
      </c>
      <c r="BF42" s="1" t="s">
        <v>28</v>
      </c>
      <c r="BG42" s="10">
        <f>'Data Entry'!L31</f>
        <v>1100</v>
      </c>
      <c r="BH42" s="12">
        <f>'Data Entry'!AI31</f>
        <v>0.46666666666666667</v>
      </c>
      <c r="BI42" s="12"/>
      <c r="BN42" s="1" t="s">
        <v>28</v>
      </c>
      <c r="BO42" s="10">
        <f>'Data Entry'!M31</f>
        <v>967</v>
      </c>
      <c r="BP42" s="12">
        <f>'Data Entry'!AJ31</f>
        <v>-0.12090909090909091</v>
      </c>
      <c r="BU42" s="1" t="s">
        <v>28</v>
      </c>
      <c r="BV42" s="10">
        <f>'Data Entry'!N31</f>
        <v>867</v>
      </c>
      <c r="BW42" s="12">
        <f>'Data Entry'!AK31</f>
        <v>-0.10341261633919338</v>
      </c>
      <c r="CC42" s="1" t="s">
        <v>28</v>
      </c>
      <c r="CD42" s="10">
        <f>'Data Entry'!O31</f>
        <v>768</v>
      </c>
      <c r="CE42" s="12">
        <f>'Data Entry'!AL31</f>
        <v>-0.11418685121107267</v>
      </c>
      <c r="CK42" s="1" t="s">
        <v>28</v>
      </c>
      <c r="CL42" s="10">
        <f>'Data Entry'!P31</f>
        <v>897</v>
      </c>
      <c r="CM42" s="12">
        <f>'Data Entry'!AM31</f>
        <v>0.16796875</v>
      </c>
      <c r="CS42" s="1" t="s">
        <v>28</v>
      </c>
      <c r="CT42" s="10">
        <f>'Data Entry'!Q31</f>
        <v>900</v>
      </c>
      <c r="CU42" s="12">
        <f>'Data Entry'!AN31</f>
        <v>3.3444816053511705E-3</v>
      </c>
    </row>
    <row r="45" spans="1:99">
      <c r="A45" s="1" t="s">
        <v>29</v>
      </c>
      <c r="B45" s="1" t="s">
        <v>2</v>
      </c>
      <c r="C45" s="1" t="s">
        <v>3</v>
      </c>
      <c r="D45" s="1" t="s">
        <v>31</v>
      </c>
      <c r="I45" s="1" t="s">
        <v>29</v>
      </c>
      <c r="J45" s="1" t="s">
        <v>2</v>
      </c>
      <c r="K45" s="10" t="s">
        <v>3</v>
      </c>
      <c r="L45" s="1" t="s">
        <v>31</v>
      </c>
      <c r="P45" s="1" t="s">
        <v>29</v>
      </c>
      <c r="Q45" s="1" t="s">
        <v>2</v>
      </c>
      <c r="R45" s="1" t="s">
        <v>3</v>
      </c>
      <c r="S45" s="1" t="s">
        <v>31</v>
      </c>
      <c r="X45" s="1" t="s">
        <v>29</v>
      </c>
      <c r="Y45" s="1" t="s">
        <v>2</v>
      </c>
      <c r="Z45" s="1" t="s">
        <v>3</v>
      </c>
      <c r="AA45" s="1" t="s">
        <v>31</v>
      </c>
      <c r="AF45" s="1" t="s">
        <v>29</v>
      </c>
      <c r="AG45" s="1" t="s">
        <v>2</v>
      </c>
      <c r="AH45" s="1" t="s">
        <v>3</v>
      </c>
      <c r="AI45" s="1" t="s">
        <v>31</v>
      </c>
      <c r="AN45" s="1" t="s">
        <v>29</v>
      </c>
      <c r="AO45" s="1" t="s">
        <v>2</v>
      </c>
      <c r="AP45" s="1" t="s">
        <v>3</v>
      </c>
      <c r="AQ45" s="1" t="s">
        <v>31</v>
      </c>
      <c r="AV45" s="1" t="s">
        <v>29</v>
      </c>
      <c r="AW45" s="1" t="s">
        <v>2</v>
      </c>
      <c r="AX45" s="1" t="s">
        <v>3</v>
      </c>
      <c r="AY45" s="1" t="s">
        <v>31</v>
      </c>
      <c r="BE45" s="1" t="s">
        <v>29</v>
      </c>
      <c r="BF45" s="1" t="s">
        <v>2</v>
      </c>
      <c r="BG45" s="1" t="s">
        <v>3</v>
      </c>
      <c r="BH45" s="1" t="s">
        <v>31</v>
      </c>
      <c r="BM45" s="1" t="s">
        <v>29</v>
      </c>
      <c r="BN45" s="1" t="s">
        <v>2</v>
      </c>
      <c r="BO45" s="1" t="s">
        <v>3</v>
      </c>
      <c r="BP45" s="1" t="s">
        <v>31</v>
      </c>
      <c r="BT45" s="1" t="s">
        <v>29</v>
      </c>
      <c r="BU45" s="1" t="s">
        <v>2</v>
      </c>
      <c r="BV45" s="1" t="s">
        <v>3</v>
      </c>
      <c r="BW45" s="1" t="s">
        <v>31</v>
      </c>
      <c r="CB45" s="1" t="s">
        <v>29</v>
      </c>
      <c r="CC45" s="1" t="s">
        <v>2</v>
      </c>
      <c r="CD45" s="1" t="s">
        <v>3</v>
      </c>
      <c r="CE45" s="1" t="s">
        <v>31</v>
      </c>
      <c r="CJ45" s="1" t="s">
        <v>29</v>
      </c>
      <c r="CK45" s="1" t="s">
        <v>2</v>
      </c>
      <c r="CL45" s="1" t="s">
        <v>3</v>
      </c>
      <c r="CM45" s="1" t="s">
        <v>31</v>
      </c>
      <c r="CR45" s="1" t="s">
        <v>29</v>
      </c>
      <c r="CS45" s="1" t="s">
        <v>2</v>
      </c>
      <c r="CT45" s="1" t="s">
        <v>3</v>
      </c>
      <c r="CU45" s="1" t="s">
        <v>31</v>
      </c>
    </row>
    <row r="46" spans="1:99">
      <c r="B46" s="1" t="s">
        <v>9</v>
      </c>
      <c r="C46" s="10">
        <f>'Data Entry'!E32</f>
        <v>54675</v>
      </c>
      <c r="D46" s="12">
        <f>'Data Entry'!AB32</f>
        <v>-0.17875811103100217</v>
      </c>
      <c r="E46" s="12"/>
      <c r="J46" s="1" t="s">
        <v>9</v>
      </c>
      <c r="K46" s="10">
        <f>'Data Entry'!F32</f>
        <v>70894</v>
      </c>
      <c r="L46" s="12">
        <f>'Data Entry'!AC32</f>
        <v>0.29664380429812531</v>
      </c>
      <c r="Q46" s="1" t="s">
        <v>9</v>
      </c>
      <c r="R46" s="10">
        <f>'Data Entry'!G32</f>
        <v>67467</v>
      </c>
      <c r="S46" s="12">
        <f>'Data Entry'!AD32</f>
        <v>-4.8339774875165741E-2</v>
      </c>
      <c r="Y46" s="1" t="s">
        <v>9</v>
      </c>
      <c r="Z46" s="10">
        <f>'Data Entry'!H32</f>
        <v>97665</v>
      </c>
      <c r="AA46" s="12">
        <f>'Data Entry'!AE32</f>
        <v>0.4475966027835831</v>
      </c>
      <c r="AG46" s="1" t="s">
        <v>9</v>
      </c>
      <c r="AH46" s="10">
        <f>'Data Entry'!I32</f>
        <v>84835</v>
      </c>
      <c r="AI46" s="12">
        <f>'Data Entry'!AF32</f>
        <v>-0.13136742947831875</v>
      </c>
      <c r="AO46" s="1" t="s">
        <v>9</v>
      </c>
      <c r="AP46" s="10">
        <f>'Data Entry'!J32</f>
        <v>67792</v>
      </c>
      <c r="AQ46" s="12">
        <f>'Data Entry'!AG32</f>
        <v>-0.20089585666293394</v>
      </c>
      <c r="AW46" s="1" t="s">
        <v>9</v>
      </c>
      <c r="AX46" s="10">
        <f>'Data Entry'!K32</f>
        <v>39322</v>
      </c>
      <c r="AY46" s="12">
        <f>'Data Entry'!AH32</f>
        <v>-0.41996105735189992</v>
      </c>
      <c r="BF46" s="1" t="s">
        <v>9</v>
      </c>
      <c r="BG46" s="10">
        <f>'Data Entry'!L32</f>
        <v>72381</v>
      </c>
      <c r="BH46" s="12">
        <f>'Data Entry'!AI32</f>
        <v>0.84072529372870153</v>
      </c>
      <c r="BI46" s="12"/>
      <c r="BN46" s="1" t="s">
        <v>9</v>
      </c>
      <c r="BO46" s="10">
        <f>'Data Entry'!M32</f>
        <v>55645</v>
      </c>
      <c r="BP46" s="12">
        <f>'Data Entry'!AJ32</f>
        <v>-0.23122090051256544</v>
      </c>
      <c r="BU46" s="1" t="s">
        <v>9</v>
      </c>
      <c r="BV46" s="10">
        <f>'Data Entry'!N32</f>
        <v>49867</v>
      </c>
      <c r="BW46" s="12">
        <f>'Data Entry'!AK32</f>
        <v>-0.10383682271542816</v>
      </c>
      <c r="CC46" s="1" t="s">
        <v>9</v>
      </c>
      <c r="CD46" s="10">
        <f>'Data Entry'!O32</f>
        <v>63545</v>
      </c>
      <c r="CE46" s="12">
        <f>'Data Entry'!AL32</f>
        <v>0.27428961036356708</v>
      </c>
      <c r="CK46" s="1" t="s">
        <v>9</v>
      </c>
      <c r="CL46" s="10">
        <f>'Data Entry'!P32</f>
        <v>55768</v>
      </c>
      <c r="CM46" s="12">
        <f>'Data Entry'!AM32</f>
        <v>-0.12238571091352585</v>
      </c>
      <c r="CS46" s="1" t="s">
        <v>9</v>
      </c>
      <c r="CT46" s="10">
        <f>'Data Entry'!Q32</f>
        <v>57634</v>
      </c>
      <c r="CU46" s="12">
        <f>'Data Entry'!AN32</f>
        <v>3.3460048773490174E-2</v>
      </c>
    </row>
    <row r="47" spans="1:99">
      <c r="B47" s="1" t="s">
        <v>30</v>
      </c>
      <c r="C47" s="10">
        <f>'Data Entry'!E33</f>
        <v>1111</v>
      </c>
      <c r="D47" s="12">
        <f>'Data Entry'!AB33</f>
        <v>0.12335692618806876</v>
      </c>
      <c r="E47" s="12"/>
      <c r="J47" s="1" t="s">
        <v>30</v>
      </c>
      <c r="K47" s="10">
        <f>'Data Entry'!F33</f>
        <v>1761</v>
      </c>
      <c r="L47" s="12">
        <f>'Data Entry'!AC33</f>
        <v>0.58505850585058505</v>
      </c>
      <c r="Q47" s="1" t="s">
        <v>30</v>
      </c>
      <c r="R47" s="10">
        <f>'Data Entry'!G33</f>
        <v>1565</v>
      </c>
      <c r="S47" s="12">
        <f>'Data Entry'!AD33</f>
        <v>-0.11130039750141965</v>
      </c>
      <c r="Y47" s="1" t="s">
        <v>30</v>
      </c>
      <c r="Z47" s="10">
        <f>'Data Entry'!H33</f>
        <v>2147</v>
      </c>
      <c r="AA47" s="12">
        <f>'Data Entry'!AE33</f>
        <v>0.37188498402555908</v>
      </c>
      <c r="AG47" s="1" t="s">
        <v>30</v>
      </c>
      <c r="AH47" s="10">
        <f>'Data Entry'!I33</f>
        <v>1115</v>
      </c>
      <c r="AI47" s="12">
        <f>'Data Entry'!AF33</f>
        <v>-0.48067070330693989</v>
      </c>
      <c r="AO47" s="1" t="s">
        <v>30</v>
      </c>
      <c r="AP47" s="10">
        <f>'Data Entry'!J33</f>
        <v>1211</v>
      </c>
      <c r="AQ47" s="12">
        <f>'Data Entry'!AG33</f>
        <v>8.6098654708520184E-2</v>
      </c>
      <c r="AW47" s="1" t="s">
        <v>30</v>
      </c>
      <c r="AX47" s="10">
        <f>'Data Entry'!K33</f>
        <v>602</v>
      </c>
      <c r="AY47" s="12">
        <f>'Data Entry'!AH33</f>
        <v>-0.50289017341040465</v>
      </c>
      <c r="BF47" s="1" t="s">
        <v>30</v>
      </c>
      <c r="BG47" s="10">
        <f>'Data Entry'!L33</f>
        <v>1340</v>
      </c>
      <c r="BH47" s="12">
        <f>'Data Entry'!AI33</f>
        <v>1.2259136212624584</v>
      </c>
      <c r="BI47" s="12"/>
      <c r="BN47" s="1" t="s">
        <v>30</v>
      </c>
      <c r="BO47" s="10">
        <f>'Data Entry'!M33</f>
        <v>4354</v>
      </c>
      <c r="BP47" s="12">
        <f>'Data Entry'!AJ33</f>
        <v>2.2492537313432837</v>
      </c>
      <c r="BU47" s="1" t="s">
        <v>30</v>
      </c>
      <c r="BV47" s="10">
        <f>'Data Entry'!N33</f>
        <v>2321</v>
      </c>
      <c r="BW47" s="12">
        <f>'Data Entry'!AK33</f>
        <v>-0.46692696371152964</v>
      </c>
      <c r="CC47" s="1" t="s">
        <v>30</v>
      </c>
      <c r="CD47" s="10">
        <f>'Data Entry'!O33</f>
        <v>1987</v>
      </c>
      <c r="CE47" s="12">
        <f>'Data Entry'!AL33</f>
        <v>-0.14390348987505386</v>
      </c>
      <c r="CK47" s="1" t="s">
        <v>30</v>
      </c>
      <c r="CL47" s="10">
        <f>'Data Entry'!P33</f>
        <v>1232</v>
      </c>
      <c r="CM47" s="12">
        <f>'Data Entry'!AM33</f>
        <v>-0.37996980372420736</v>
      </c>
      <c r="CS47" s="1" t="s">
        <v>30</v>
      </c>
      <c r="CT47" s="10">
        <f>'Data Entry'!Q33</f>
        <v>890</v>
      </c>
      <c r="CU47" s="12">
        <f>'Data Entry'!AN33</f>
        <v>-0.27759740259740262</v>
      </c>
    </row>
    <row r="48" spans="1:99">
      <c r="B48" s="1" t="s">
        <v>22</v>
      </c>
      <c r="C48" s="10">
        <f>'Data Entry'!E34</f>
        <v>23</v>
      </c>
      <c r="D48" s="12">
        <f>'Data Entry'!AB34</f>
        <v>-0.46511627906976744</v>
      </c>
      <c r="E48" s="12"/>
      <c r="J48" s="1" t="s">
        <v>22</v>
      </c>
      <c r="K48" s="10">
        <f>'Data Entry'!F34</f>
        <v>35</v>
      </c>
      <c r="L48" s="12">
        <f>'Data Entry'!AC34</f>
        <v>0.52173913043478259</v>
      </c>
      <c r="Q48" s="1" t="s">
        <v>22</v>
      </c>
      <c r="R48" s="10">
        <f>'Data Entry'!G34</f>
        <v>42</v>
      </c>
      <c r="S48" s="12">
        <f>'Data Entry'!AD34</f>
        <v>0.2</v>
      </c>
      <c r="Y48" s="1" t="s">
        <v>22</v>
      </c>
      <c r="Z48" s="10">
        <f>'Data Entry'!H34</f>
        <v>37</v>
      </c>
      <c r="AA48" s="12">
        <f>'Data Entry'!AE34</f>
        <v>-0.11904761904761904</v>
      </c>
      <c r="AG48" s="1" t="s">
        <v>22</v>
      </c>
      <c r="AH48" s="10">
        <f>'Data Entry'!I34</f>
        <v>82</v>
      </c>
      <c r="AI48" s="12">
        <f>'Data Entry'!AF34</f>
        <v>1.2162162162162162</v>
      </c>
      <c r="AO48" s="1" t="s">
        <v>22</v>
      </c>
      <c r="AP48" s="10">
        <f>'Data Entry'!J34</f>
        <v>56</v>
      </c>
      <c r="AQ48" s="12">
        <f>'Data Entry'!AG34</f>
        <v>-0.31707317073170732</v>
      </c>
      <c r="AW48" s="1" t="s">
        <v>22</v>
      </c>
      <c r="AX48" s="10">
        <f>'Data Entry'!K34</f>
        <v>73</v>
      </c>
      <c r="AY48" s="12">
        <f>'Data Entry'!AH34</f>
        <v>0.30357142857142855</v>
      </c>
      <c r="BF48" s="1" t="s">
        <v>22</v>
      </c>
      <c r="BG48" s="10">
        <f>'Data Entry'!L34</f>
        <v>66</v>
      </c>
      <c r="BH48" s="12">
        <f>'Data Entry'!AI34</f>
        <v>-9.5890410958904104E-2</v>
      </c>
      <c r="BI48" s="12"/>
      <c r="BN48" s="1" t="s">
        <v>22</v>
      </c>
      <c r="BO48" s="10">
        <f>'Data Entry'!M34</f>
        <v>32</v>
      </c>
      <c r="BP48" s="12">
        <f>'Data Entry'!AJ34</f>
        <v>-0.51515151515151514</v>
      </c>
      <c r="BU48" s="1" t="s">
        <v>22</v>
      </c>
      <c r="BV48" s="10">
        <f>'Data Entry'!N34</f>
        <v>45</v>
      </c>
      <c r="BW48" s="12">
        <f>'Data Entry'!AK34</f>
        <v>0.40625</v>
      </c>
      <c r="CC48" s="1" t="s">
        <v>22</v>
      </c>
      <c r="CD48" s="10">
        <f>'Data Entry'!O34</f>
        <v>64</v>
      </c>
      <c r="CE48" s="12">
        <f>'Data Entry'!AL34</f>
        <v>0.42222222222222222</v>
      </c>
      <c r="CK48" s="1" t="s">
        <v>22</v>
      </c>
      <c r="CL48" s="10">
        <f>'Data Entry'!P34</f>
        <v>48</v>
      </c>
      <c r="CM48" s="12">
        <f>'Data Entry'!AM34</f>
        <v>-0.25</v>
      </c>
      <c r="CS48" s="1" t="s">
        <v>22</v>
      </c>
      <c r="CT48" s="10">
        <f>'Data Entry'!Q34</f>
        <v>52</v>
      </c>
      <c r="CU48" s="12">
        <f>'Data Entry'!AN34</f>
        <v>8.3333333333333329E-2</v>
      </c>
    </row>
    <row r="68" spans="32:32">
      <c r="AF68" s="1" t="s">
        <v>76</v>
      </c>
    </row>
  </sheetData>
  <sheetProtection algorithmName="SHA-512" hashValue="9IMGWJGnVA773Ou0zaoFuttcauP3fFQ4XzS9yJ4Xza3h4WlkoTk8xW3w4ZL3OSzOTVZHG9M9ZX8AITy/q751SQ==" saltValue="Sjyhi22y6dgnwev0VXmKTQ==" spinCount="100000" sheet="1" objects="1" scenarios="1" selectLockedCells="1"/>
  <mergeCells count="13">
    <mergeCell ref="AN1:AO1"/>
    <mergeCell ref="AV1:AW1"/>
    <mergeCell ref="I1:J1"/>
    <mergeCell ref="A1:B1"/>
    <mergeCell ref="P1:Q1"/>
    <mergeCell ref="X1:Y1"/>
    <mergeCell ref="AF1:AG1"/>
    <mergeCell ref="CB1:CC1"/>
    <mergeCell ref="CJ1:CK1"/>
    <mergeCell ref="CR1:CS1"/>
    <mergeCell ref="BE1:BF1"/>
    <mergeCell ref="BM1:BN1"/>
    <mergeCell ref="BT1:BU1"/>
  </mergeCells>
  <conditionalFormatting sqref="D4:E14">
    <cfRule type="dataBar" priority="403">
      <dataBar>
        <cfvo type="min"/>
        <cfvo type="max"/>
        <color rgb="FF63C384"/>
      </dataBar>
      <extLst>
        <ext xmlns:x14="http://schemas.microsoft.com/office/spreadsheetml/2009/9/main" uri="{B025F937-C7B1-47D3-B67F-A62EFF666E3E}">
          <x14:id>{B96C358A-3635-4215-983E-26E1DD4F3AFE}</x14:id>
        </ext>
      </extLst>
    </cfRule>
  </conditionalFormatting>
  <conditionalFormatting sqref="D18:E23">
    <cfRule type="dataBar" priority="402">
      <dataBar>
        <cfvo type="min"/>
        <cfvo type="max"/>
        <color rgb="FF63C384"/>
      </dataBar>
      <extLst>
        <ext xmlns:x14="http://schemas.microsoft.com/office/spreadsheetml/2009/9/main" uri="{B025F937-C7B1-47D3-B67F-A62EFF666E3E}">
          <x14:id>{C36DE2D5-1D94-4E82-BB14-89ACF75927D9}</x14:id>
        </ext>
      </extLst>
    </cfRule>
  </conditionalFormatting>
  <conditionalFormatting sqref="D27:E31">
    <cfRule type="dataBar" priority="401">
      <dataBar>
        <cfvo type="min"/>
        <cfvo type="max"/>
        <color rgb="FF63C384"/>
      </dataBar>
      <extLst>
        <ext xmlns:x14="http://schemas.microsoft.com/office/spreadsheetml/2009/9/main" uri="{B025F937-C7B1-47D3-B67F-A62EFF666E3E}">
          <x14:id>{23866865-13DE-4F4B-A087-A5C67A35FB84}</x14:id>
        </ext>
      </extLst>
    </cfRule>
  </conditionalFormatting>
  <conditionalFormatting sqref="D34:E35">
    <cfRule type="dataBar" priority="400">
      <dataBar>
        <cfvo type="min"/>
        <cfvo type="max"/>
        <color rgb="FF63C384"/>
      </dataBar>
      <extLst>
        <ext xmlns:x14="http://schemas.microsoft.com/office/spreadsheetml/2009/9/main" uri="{B025F937-C7B1-47D3-B67F-A62EFF666E3E}">
          <x14:id>{953A0D21-8D73-40B4-BE25-48D52EE2B6E1}</x14:id>
        </ext>
      </extLst>
    </cfRule>
  </conditionalFormatting>
  <conditionalFormatting sqref="D39:E42">
    <cfRule type="dataBar" priority="399">
      <dataBar>
        <cfvo type="min"/>
        <cfvo type="max"/>
        <color rgb="FF63C384"/>
      </dataBar>
      <extLst>
        <ext xmlns:x14="http://schemas.microsoft.com/office/spreadsheetml/2009/9/main" uri="{B025F937-C7B1-47D3-B67F-A62EFF666E3E}">
          <x14:id>{830F1566-EFFE-4DA9-A3D6-3D45253570ED}</x14:id>
        </ext>
      </extLst>
    </cfRule>
  </conditionalFormatting>
  <conditionalFormatting sqref="D46:E48">
    <cfRule type="dataBar" priority="398">
      <dataBar>
        <cfvo type="min"/>
        <cfvo type="max"/>
        <color rgb="FF63C384"/>
      </dataBar>
      <extLst>
        <ext xmlns:x14="http://schemas.microsoft.com/office/spreadsheetml/2009/9/main" uri="{B025F937-C7B1-47D3-B67F-A62EFF666E3E}">
          <x14:id>{1DD119F5-5838-4AD6-BF63-2085A224D436}</x14:id>
        </ext>
      </extLst>
    </cfRule>
  </conditionalFormatting>
  <conditionalFormatting sqref="L4">
    <cfRule type="dataBar" priority="397">
      <dataBar>
        <cfvo type="min"/>
        <cfvo type="max"/>
        <color rgb="FF63C384"/>
      </dataBar>
      <extLst>
        <ext xmlns:x14="http://schemas.microsoft.com/office/spreadsheetml/2009/9/main" uri="{B025F937-C7B1-47D3-B67F-A62EFF666E3E}">
          <x14:id>{C3EBA609-BB3A-464B-BDF6-2981F6C45CAA}</x14:id>
        </ext>
      </extLst>
    </cfRule>
  </conditionalFormatting>
  <conditionalFormatting sqref="L4:L14">
    <cfRule type="dataBar" priority="385">
      <dataBar>
        <cfvo type="min"/>
        <cfvo type="max"/>
        <color rgb="FF63C384"/>
      </dataBar>
      <extLst>
        <ext xmlns:x14="http://schemas.microsoft.com/office/spreadsheetml/2009/9/main" uri="{B025F937-C7B1-47D3-B67F-A62EFF666E3E}">
          <x14:id>{EBD31882-6E22-42EC-A2E4-4385353A3F9A}</x14:id>
        </ext>
      </extLst>
    </cfRule>
  </conditionalFormatting>
  <conditionalFormatting sqref="L5:L14">
    <cfRule type="dataBar" priority="409">
      <dataBar>
        <cfvo type="min"/>
        <cfvo type="max"/>
        <color rgb="FF63C384"/>
      </dataBar>
      <extLst>
        <ext xmlns:x14="http://schemas.microsoft.com/office/spreadsheetml/2009/9/main" uri="{B025F937-C7B1-47D3-B67F-A62EFF666E3E}">
          <x14:id>{AFF886F1-85F1-4EB1-A75D-44DEB42D37F7}</x14:id>
        </ext>
      </extLst>
    </cfRule>
  </conditionalFormatting>
  <conditionalFormatting sqref="L18">
    <cfRule type="dataBar" priority="396">
      <dataBar>
        <cfvo type="min"/>
        <cfvo type="max"/>
        <color rgb="FF63C384"/>
      </dataBar>
      <extLst>
        <ext xmlns:x14="http://schemas.microsoft.com/office/spreadsheetml/2009/9/main" uri="{B025F937-C7B1-47D3-B67F-A62EFF666E3E}">
          <x14:id>{40CA1550-1ED2-45BC-80BD-4B3035436014}</x14:id>
        </ext>
      </extLst>
    </cfRule>
  </conditionalFormatting>
  <conditionalFormatting sqref="L18:L23">
    <cfRule type="dataBar" priority="384">
      <dataBar>
        <cfvo type="min"/>
        <cfvo type="max"/>
        <color rgb="FF63C384"/>
      </dataBar>
      <extLst>
        <ext xmlns:x14="http://schemas.microsoft.com/office/spreadsheetml/2009/9/main" uri="{B025F937-C7B1-47D3-B67F-A62EFF666E3E}">
          <x14:id>{3ABA943B-7D3E-439C-AED4-0FBADE90B578}</x14:id>
        </ext>
      </extLst>
    </cfRule>
  </conditionalFormatting>
  <conditionalFormatting sqref="L19:L23">
    <cfRule type="dataBar" priority="408">
      <dataBar>
        <cfvo type="min"/>
        <cfvo type="max"/>
        <color rgb="FF63C384"/>
      </dataBar>
      <extLst>
        <ext xmlns:x14="http://schemas.microsoft.com/office/spreadsheetml/2009/9/main" uri="{B025F937-C7B1-47D3-B67F-A62EFF666E3E}">
          <x14:id>{4EAAF3F3-D011-43B2-B911-09BF39147302}</x14:id>
        </ext>
      </extLst>
    </cfRule>
  </conditionalFormatting>
  <conditionalFormatting sqref="L27">
    <cfRule type="dataBar" priority="395">
      <dataBar>
        <cfvo type="min"/>
        <cfvo type="max"/>
        <color rgb="FF63C384"/>
      </dataBar>
      <extLst>
        <ext xmlns:x14="http://schemas.microsoft.com/office/spreadsheetml/2009/9/main" uri="{B025F937-C7B1-47D3-B67F-A62EFF666E3E}">
          <x14:id>{493D3967-8662-4368-961F-7F0C690969D3}</x14:id>
        </ext>
      </extLst>
    </cfRule>
  </conditionalFormatting>
  <conditionalFormatting sqref="L27:L30">
    <cfRule type="dataBar" priority="383">
      <dataBar>
        <cfvo type="min"/>
        <cfvo type="max"/>
        <color rgb="FF63C384"/>
      </dataBar>
      <extLst>
        <ext xmlns:x14="http://schemas.microsoft.com/office/spreadsheetml/2009/9/main" uri="{B025F937-C7B1-47D3-B67F-A62EFF666E3E}">
          <x14:id>{239E2D5E-512E-41E4-B673-220AFA2E1934}</x14:id>
        </ext>
      </extLst>
    </cfRule>
  </conditionalFormatting>
  <conditionalFormatting sqref="L28:L31">
    <cfRule type="dataBar" priority="407">
      <dataBar>
        <cfvo type="min"/>
        <cfvo type="max"/>
        <color rgb="FF63C384"/>
      </dataBar>
      <extLst>
        <ext xmlns:x14="http://schemas.microsoft.com/office/spreadsheetml/2009/9/main" uri="{B025F937-C7B1-47D3-B67F-A62EFF666E3E}">
          <x14:id>{8EDFDE50-3A96-4245-A79C-A6C044D06186}</x14:id>
        </ext>
      </extLst>
    </cfRule>
  </conditionalFormatting>
  <conditionalFormatting sqref="L34">
    <cfRule type="dataBar" priority="394">
      <dataBar>
        <cfvo type="min"/>
        <cfvo type="max"/>
        <color rgb="FF63C384"/>
      </dataBar>
      <extLst>
        <ext xmlns:x14="http://schemas.microsoft.com/office/spreadsheetml/2009/9/main" uri="{B025F937-C7B1-47D3-B67F-A62EFF666E3E}">
          <x14:id>{35BA15BE-D25F-4E08-83A6-1760CED4BE4C}</x14:id>
        </ext>
      </extLst>
    </cfRule>
  </conditionalFormatting>
  <conditionalFormatting sqref="L34:L35">
    <cfRule type="dataBar" priority="382">
      <dataBar>
        <cfvo type="min"/>
        <cfvo type="max"/>
        <color rgb="FF63C384"/>
      </dataBar>
      <extLst>
        <ext xmlns:x14="http://schemas.microsoft.com/office/spreadsheetml/2009/9/main" uri="{B025F937-C7B1-47D3-B67F-A62EFF666E3E}">
          <x14:id>{C70ED452-8DDA-438F-9B68-039A901183B9}</x14:id>
        </ext>
      </extLst>
    </cfRule>
  </conditionalFormatting>
  <conditionalFormatting sqref="L35">
    <cfRule type="dataBar" priority="406">
      <dataBar>
        <cfvo type="min"/>
        <cfvo type="max"/>
        <color rgb="FF63C384"/>
      </dataBar>
      <extLst>
        <ext xmlns:x14="http://schemas.microsoft.com/office/spreadsheetml/2009/9/main" uri="{B025F937-C7B1-47D3-B67F-A62EFF666E3E}">
          <x14:id>{73EEA0DA-C470-4E32-BFBE-4757FCE5003A}</x14:id>
        </ext>
      </extLst>
    </cfRule>
  </conditionalFormatting>
  <conditionalFormatting sqref="L39">
    <cfRule type="dataBar" priority="393">
      <dataBar>
        <cfvo type="min"/>
        <cfvo type="max"/>
        <color rgb="FF63C384"/>
      </dataBar>
      <extLst>
        <ext xmlns:x14="http://schemas.microsoft.com/office/spreadsheetml/2009/9/main" uri="{B025F937-C7B1-47D3-B67F-A62EFF666E3E}">
          <x14:id>{B3CB42E1-9A0E-4251-A250-D85CFFDBFB1A}</x14:id>
        </ext>
      </extLst>
    </cfRule>
  </conditionalFormatting>
  <conditionalFormatting sqref="L39:L42">
    <cfRule type="dataBar" priority="381">
      <dataBar>
        <cfvo type="min"/>
        <cfvo type="max"/>
        <color rgb="FF63C384"/>
      </dataBar>
      <extLst>
        <ext xmlns:x14="http://schemas.microsoft.com/office/spreadsheetml/2009/9/main" uri="{B025F937-C7B1-47D3-B67F-A62EFF666E3E}">
          <x14:id>{5F19F896-44B9-46DA-ABE0-E0DB13AF969D}</x14:id>
        </ext>
      </extLst>
    </cfRule>
  </conditionalFormatting>
  <conditionalFormatting sqref="L40:L42">
    <cfRule type="dataBar" priority="405">
      <dataBar>
        <cfvo type="min"/>
        <cfvo type="max"/>
        <color rgb="FF63C384"/>
      </dataBar>
      <extLst>
        <ext xmlns:x14="http://schemas.microsoft.com/office/spreadsheetml/2009/9/main" uri="{B025F937-C7B1-47D3-B67F-A62EFF666E3E}">
          <x14:id>{D6E4F2C2-C01D-4B9F-BC84-9130E9EAF464}</x14:id>
        </ext>
      </extLst>
    </cfRule>
  </conditionalFormatting>
  <conditionalFormatting sqref="L46">
    <cfRule type="dataBar" priority="392">
      <dataBar>
        <cfvo type="min"/>
        <cfvo type="max"/>
        <color rgb="FF63C384"/>
      </dataBar>
      <extLst>
        <ext xmlns:x14="http://schemas.microsoft.com/office/spreadsheetml/2009/9/main" uri="{B025F937-C7B1-47D3-B67F-A62EFF666E3E}">
          <x14:id>{C909E346-2834-4BD4-889E-EC4484B1C50E}</x14:id>
        </ext>
      </extLst>
    </cfRule>
  </conditionalFormatting>
  <conditionalFormatting sqref="L46:L48">
    <cfRule type="dataBar" priority="380">
      <dataBar>
        <cfvo type="min"/>
        <cfvo type="max"/>
        <color rgb="FF63C384"/>
      </dataBar>
      <extLst>
        <ext xmlns:x14="http://schemas.microsoft.com/office/spreadsheetml/2009/9/main" uri="{B025F937-C7B1-47D3-B67F-A62EFF666E3E}">
          <x14:id>{B126A255-C5E5-4493-9A24-FAE69CA9627A}</x14:id>
        </ext>
      </extLst>
    </cfRule>
  </conditionalFormatting>
  <conditionalFormatting sqref="L47:L48">
    <cfRule type="dataBar" priority="404">
      <dataBar>
        <cfvo type="min"/>
        <cfvo type="max"/>
        <color rgb="FF63C384"/>
      </dataBar>
      <extLst>
        <ext xmlns:x14="http://schemas.microsoft.com/office/spreadsheetml/2009/9/main" uri="{B025F937-C7B1-47D3-B67F-A62EFF666E3E}">
          <x14:id>{9AF9D851-C82F-46B4-A3C4-1BE7DF1DFF42}</x14:id>
        </ext>
      </extLst>
    </cfRule>
  </conditionalFormatting>
  <conditionalFormatting sqref="S4">
    <cfRule type="dataBar" priority="373">
      <dataBar>
        <cfvo type="min"/>
        <cfvo type="max"/>
        <color rgb="FF63C384"/>
      </dataBar>
      <extLst>
        <ext xmlns:x14="http://schemas.microsoft.com/office/spreadsheetml/2009/9/main" uri="{B025F937-C7B1-47D3-B67F-A62EFF666E3E}">
          <x14:id>{AE7D5EA9-4B7A-48D3-A649-3C22E0D86347}</x14:id>
        </ext>
      </extLst>
    </cfRule>
  </conditionalFormatting>
  <conditionalFormatting sqref="S4:S14">
    <cfRule type="dataBar" priority="367">
      <dataBar>
        <cfvo type="min"/>
        <cfvo type="max"/>
        <color rgb="FF63C384"/>
      </dataBar>
      <extLst>
        <ext xmlns:x14="http://schemas.microsoft.com/office/spreadsheetml/2009/9/main" uri="{B025F937-C7B1-47D3-B67F-A62EFF666E3E}">
          <x14:id>{A47D6EFF-ACFF-48B7-BCAB-0C997FFA3E16}</x14:id>
        </ext>
      </extLst>
    </cfRule>
  </conditionalFormatting>
  <conditionalFormatting sqref="S5:S14">
    <cfRule type="dataBar" priority="379">
      <dataBar>
        <cfvo type="min"/>
        <cfvo type="max"/>
        <color rgb="FF63C384"/>
      </dataBar>
      <extLst>
        <ext xmlns:x14="http://schemas.microsoft.com/office/spreadsheetml/2009/9/main" uri="{B025F937-C7B1-47D3-B67F-A62EFF666E3E}">
          <x14:id>{56F22480-801B-4911-84BA-3D13A616AFB1}</x14:id>
        </ext>
      </extLst>
    </cfRule>
  </conditionalFormatting>
  <conditionalFormatting sqref="S18">
    <cfRule type="dataBar" priority="372">
      <dataBar>
        <cfvo type="min"/>
        <cfvo type="max"/>
        <color rgb="FF63C384"/>
      </dataBar>
      <extLst>
        <ext xmlns:x14="http://schemas.microsoft.com/office/spreadsheetml/2009/9/main" uri="{B025F937-C7B1-47D3-B67F-A62EFF666E3E}">
          <x14:id>{F8175045-F0C2-4257-AC24-34F00AC84864}</x14:id>
        </ext>
      </extLst>
    </cfRule>
  </conditionalFormatting>
  <conditionalFormatting sqref="S18:S23">
    <cfRule type="dataBar" priority="366">
      <dataBar>
        <cfvo type="min"/>
        <cfvo type="max"/>
        <color rgb="FF63C384"/>
      </dataBar>
      <extLst>
        <ext xmlns:x14="http://schemas.microsoft.com/office/spreadsheetml/2009/9/main" uri="{B025F937-C7B1-47D3-B67F-A62EFF666E3E}">
          <x14:id>{85E651F8-AFCF-43CE-8A2C-4A1320E0FD3D}</x14:id>
        </ext>
      </extLst>
    </cfRule>
  </conditionalFormatting>
  <conditionalFormatting sqref="S19:S23">
    <cfRule type="dataBar" priority="378">
      <dataBar>
        <cfvo type="min"/>
        <cfvo type="max"/>
        <color rgb="FF63C384"/>
      </dataBar>
      <extLst>
        <ext xmlns:x14="http://schemas.microsoft.com/office/spreadsheetml/2009/9/main" uri="{B025F937-C7B1-47D3-B67F-A62EFF666E3E}">
          <x14:id>{4F88E1C9-231A-4082-B2CB-EC76A5CFFBA4}</x14:id>
        </ext>
      </extLst>
    </cfRule>
  </conditionalFormatting>
  <conditionalFormatting sqref="S27">
    <cfRule type="dataBar" priority="371">
      <dataBar>
        <cfvo type="min"/>
        <cfvo type="max"/>
        <color rgb="FF63C384"/>
      </dataBar>
      <extLst>
        <ext xmlns:x14="http://schemas.microsoft.com/office/spreadsheetml/2009/9/main" uri="{B025F937-C7B1-47D3-B67F-A62EFF666E3E}">
          <x14:id>{DDB528C6-594A-4FC4-85B1-6F15A09DA45D}</x14:id>
        </ext>
      </extLst>
    </cfRule>
  </conditionalFormatting>
  <conditionalFormatting sqref="S27:S30">
    <cfRule type="dataBar" priority="365">
      <dataBar>
        <cfvo type="min"/>
        <cfvo type="max"/>
        <color rgb="FF63C384"/>
      </dataBar>
      <extLst>
        <ext xmlns:x14="http://schemas.microsoft.com/office/spreadsheetml/2009/9/main" uri="{B025F937-C7B1-47D3-B67F-A62EFF666E3E}">
          <x14:id>{5CDFEB27-C1AD-4015-BDAA-FED750884EBA}</x14:id>
        </ext>
      </extLst>
    </cfRule>
  </conditionalFormatting>
  <conditionalFormatting sqref="S28:S31">
    <cfRule type="dataBar" priority="377">
      <dataBar>
        <cfvo type="min"/>
        <cfvo type="max"/>
        <color rgb="FF63C384"/>
      </dataBar>
      <extLst>
        <ext xmlns:x14="http://schemas.microsoft.com/office/spreadsheetml/2009/9/main" uri="{B025F937-C7B1-47D3-B67F-A62EFF666E3E}">
          <x14:id>{C0FE1960-30E1-4E48-A331-153C96E8DD28}</x14:id>
        </ext>
      </extLst>
    </cfRule>
  </conditionalFormatting>
  <conditionalFormatting sqref="S34">
    <cfRule type="dataBar" priority="370">
      <dataBar>
        <cfvo type="min"/>
        <cfvo type="max"/>
        <color rgb="FF63C384"/>
      </dataBar>
      <extLst>
        <ext xmlns:x14="http://schemas.microsoft.com/office/spreadsheetml/2009/9/main" uri="{B025F937-C7B1-47D3-B67F-A62EFF666E3E}">
          <x14:id>{FFD255A5-EF79-47B9-95BA-174CBD3A2F1E}</x14:id>
        </ext>
      </extLst>
    </cfRule>
  </conditionalFormatting>
  <conditionalFormatting sqref="S34:S35">
    <cfRule type="dataBar" priority="364">
      <dataBar>
        <cfvo type="min"/>
        <cfvo type="max"/>
        <color rgb="FF63C384"/>
      </dataBar>
      <extLst>
        <ext xmlns:x14="http://schemas.microsoft.com/office/spreadsheetml/2009/9/main" uri="{B025F937-C7B1-47D3-B67F-A62EFF666E3E}">
          <x14:id>{9010FCD6-AAD9-4E6E-94A6-DB9E9720242B}</x14:id>
        </ext>
      </extLst>
    </cfRule>
  </conditionalFormatting>
  <conditionalFormatting sqref="S35">
    <cfRule type="dataBar" priority="376">
      <dataBar>
        <cfvo type="min"/>
        <cfvo type="max"/>
        <color rgb="FF63C384"/>
      </dataBar>
      <extLst>
        <ext xmlns:x14="http://schemas.microsoft.com/office/spreadsheetml/2009/9/main" uri="{B025F937-C7B1-47D3-B67F-A62EFF666E3E}">
          <x14:id>{4F5F8966-2291-4D05-AF59-ECD726A4B2AF}</x14:id>
        </ext>
      </extLst>
    </cfRule>
  </conditionalFormatting>
  <conditionalFormatting sqref="S39">
    <cfRule type="dataBar" priority="369">
      <dataBar>
        <cfvo type="min"/>
        <cfvo type="max"/>
        <color rgb="FF63C384"/>
      </dataBar>
      <extLst>
        <ext xmlns:x14="http://schemas.microsoft.com/office/spreadsheetml/2009/9/main" uri="{B025F937-C7B1-47D3-B67F-A62EFF666E3E}">
          <x14:id>{B72957F4-A001-435B-B3A2-322184909FB0}</x14:id>
        </ext>
      </extLst>
    </cfRule>
  </conditionalFormatting>
  <conditionalFormatting sqref="S39:S42">
    <cfRule type="dataBar" priority="363">
      <dataBar>
        <cfvo type="min"/>
        <cfvo type="max"/>
        <color rgb="FF63C384"/>
      </dataBar>
      <extLst>
        <ext xmlns:x14="http://schemas.microsoft.com/office/spreadsheetml/2009/9/main" uri="{B025F937-C7B1-47D3-B67F-A62EFF666E3E}">
          <x14:id>{D45986BC-3540-40CB-9C7A-FA6417C98D9E}</x14:id>
        </ext>
      </extLst>
    </cfRule>
  </conditionalFormatting>
  <conditionalFormatting sqref="S40:S42">
    <cfRule type="dataBar" priority="375">
      <dataBar>
        <cfvo type="min"/>
        <cfvo type="max"/>
        <color rgb="FF63C384"/>
      </dataBar>
      <extLst>
        <ext xmlns:x14="http://schemas.microsoft.com/office/spreadsheetml/2009/9/main" uri="{B025F937-C7B1-47D3-B67F-A62EFF666E3E}">
          <x14:id>{D0FDD129-9C32-453E-9ADC-9633171F94C3}</x14:id>
        </ext>
      </extLst>
    </cfRule>
  </conditionalFormatting>
  <conditionalFormatting sqref="S46">
    <cfRule type="dataBar" priority="368">
      <dataBar>
        <cfvo type="min"/>
        <cfvo type="max"/>
        <color rgb="FF63C384"/>
      </dataBar>
      <extLst>
        <ext xmlns:x14="http://schemas.microsoft.com/office/spreadsheetml/2009/9/main" uri="{B025F937-C7B1-47D3-B67F-A62EFF666E3E}">
          <x14:id>{17A580F1-877B-4B2F-AD45-001D442C6C1F}</x14:id>
        </ext>
      </extLst>
    </cfRule>
  </conditionalFormatting>
  <conditionalFormatting sqref="S46:S48">
    <cfRule type="dataBar" priority="362">
      <dataBar>
        <cfvo type="min"/>
        <cfvo type="max"/>
        <color rgb="FF63C384"/>
      </dataBar>
      <extLst>
        <ext xmlns:x14="http://schemas.microsoft.com/office/spreadsheetml/2009/9/main" uri="{B025F937-C7B1-47D3-B67F-A62EFF666E3E}">
          <x14:id>{50E72EDA-BEBD-4AF9-A370-F9ECC55A612D}</x14:id>
        </ext>
      </extLst>
    </cfRule>
  </conditionalFormatting>
  <conditionalFormatting sqref="S47:S48">
    <cfRule type="dataBar" priority="374">
      <dataBar>
        <cfvo type="min"/>
        <cfvo type="max"/>
        <color rgb="FF63C384"/>
      </dataBar>
      <extLst>
        <ext xmlns:x14="http://schemas.microsoft.com/office/spreadsheetml/2009/9/main" uri="{B025F937-C7B1-47D3-B67F-A62EFF666E3E}">
          <x14:id>{E2C89760-2D82-4F22-8F0E-A33198574455}</x14:id>
        </ext>
      </extLst>
    </cfRule>
  </conditionalFormatting>
  <conditionalFormatting sqref="AA4">
    <cfRule type="dataBar" priority="271">
      <dataBar>
        <cfvo type="min"/>
        <cfvo type="max"/>
        <color rgb="FF63C384"/>
      </dataBar>
      <extLst>
        <ext xmlns:x14="http://schemas.microsoft.com/office/spreadsheetml/2009/9/main" uri="{B025F937-C7B1-47D3-B67F-A62EFF666E3E}">
          <x14:id>{DFA77617-CF6C-4730-9D00-9E1E1F5E9C8A}</x14:id>
        </ext>
      </extLst>
    </cfRule>
    <cfRule type="dataBar" priority="270">
      <dataBar>
        <cfvo type="min"/>
        <cfvo type="max"/>
        <color rgb="FF63C384"/>
      </dataBar>
      <extLst>
        <ext xmlns:x14="http://schemas.microsoft.com/office/spreadsheetml/2009/9/main" uri="{B025F937-C7B1-47D3-B67F-A62EFF666E3E}">
          <x14:id>{4976684A-BD0C-4D8E-B43C-D75589B8DB91}</x14:id>
        </ext>
      </extLst>
    </cfRule>
  </conditionalFormatting>
  <conditionalFormatting sqref="AA5:AA14">
    <cfRule type="dataBar" priority="343">
      <dataBar>
        <cfvo type="min"/>
        <cfvo type="max"/>
        <color rgb="FF63C384"/>
      </dataBar>
      <extLst>
        <ext xmlns:x14="http://schemas.microsoft.com/office/spreadsheetml/2009/9/main" uri="{B025F937-C7B1-47D3-B67F-A62EFF666E3E}">
          <x14:id>{1DAB0298-9C84-4AEF-B7F9-9599C8BEABE0}</x14:id>
        </ext>
      </extLst>
    </cfRule>
    <cfRule type="dataBar" priority="331">
      <dataBar>
        <cfvo type="min"/>
        <cfvo type="max"/>
        <color rgb="FF63C384"/>
      </dataBar>
      <extLst>
        <ext xmlns:x14="http://schemas.microsoft.com/office/spreadsheetml/2009/9/main" uri="{B025F937-C7B1-47D3-B67F-A62EFF666E3E}">
          <x14:id>{4A0CB46B-7036-46EB-91B4-92D4970418CF}</x14:id>
        </ext>
      </extLst>
    </cfRule>
  </conditionalFormatting>
  <conditionalFormatting sqref="AA18">
    <cfRule type="dataBar" priority="269">
      <dataBar>
        <cfvo type="min"/>
        <cfvo type="max"/>
        <color rgb="FF63C384"/>
      </dataBar>
      <extLst>
        <ext xmlns:x14="http://schemas.microsoft.com/office/spreadsheetml/2009/9/main" uri="{B025F937-C7B1-47D3-B67F-A62EFF666E3E}">
          <x14:id>{0231C6DB-B903-4EF9-97DE-A30522882F88}</x14:id>
        </ext>
      </extLst>
    </cfRule>
    <cfRule type="dataBar" priority="268">
      <dataBar>
        <cfvo type="min"/>
        <cfvo type="max"/>
        <color rgb="FF63C384"/>
      </dataBar>
      <extLst>
        <ext xmlns:x14="http://schemas.microsoft.com/office/spreadsheetml/2009/9/main" uri="{B025F937-C7B1-47D3-B67F-A62EFF666E3E}">
          <x14:id>{DBF31132-E1EE-4F3B-9AB2-91D5F5E5EF8B}</x14:id>
        </ext>
      </extLst>
    </cfRule>
  </conditionalFormatting>
  <conditionalFormatting sqref="AA19:AA23">
    <cfRule type="dataBar" priority="330">
      <dataBar>
        <cfvo type="min"/>
        <cfvo type="max"/>
        <color rgb="FF63C384"/>
      </dataBar>
      <extLst>
        <ext xmlns:x14="http://schemas.microsoft.com/office/spreadsheetml/2009/9/main" uri="{B025F937-C7B1-47D3-B67F-A62EFF666E3E}">
          <x14:id>{0D151FE0-51CE-4551-91D0-E6D4DE49B662}</x14:id>
        </ext>
      </extLst>
    </cfRule>
    <cfRule type="dataBar" priority="342">
      <dataBar>
        <cfvo type="min"/>
        <cfvo type="max"/>
        <color rgb="FF63C384"/>
      </dataBar>
      <extLst>
        <ext xmlns:x14="http://schemas.microsoft.com/office/spreadsheetml/2009/9/main" uri="{B025F937-C7B1-47D3-B67F-A62EFF666E3E}">
          <x14:id>{C029B92B-921B-46EC-AE11-A73A086A527C}</x14:id>
        </ext>
      </extLst>
    </cfRule>
  </conditionalFormatting>
  <conditionalFormatting sqref="AA27">
    <cfRule type="dataBar" priority="266">
      <dataBar>
        <cfvo type="min"/>
        <cfvo type="max"/>
        <color rgb="FF63C384"/>
      </dataBar>
      <extLst>
        <ext xmlns:x14="http://schemas.microsoft.com/office/spreadsheetml/2009/9/main" uri="{B025F937-C7B1-47D3-B67F-A62EFF666E3E}">
          <x14:id>{4669A75C-7BFB-43A8-98A2-32683BA4BA26}</x14:id>
        </ext>
      </extLst>
    </cfRule>
    <cfRule type="dataBar" priority="267">
      <dataBar>
        <cfvo type="min"/>
        <cfvo type="max"/>
        <color rgb="FF63C384"/>
      </dataBar>
      <extLst>
        <ext xmlns:x14="http://schemas.microsoft.com/office/spreadsheetml/2009/9/main" uri="{B025F937-C7B1-47D3-B67F-A62EFF666E3E}">
          <x14:id>{7FE9ED33-BA68-4FBA-8EF8-058D19A1BFAA}</x14:id>
        </ext>
      </extLst>
    </cfRule>
  </conditionalFormatting>
  <conditionalFormatting sqref="AA28:AA30">
    <cfRule type="dataBar" priority="329">
      <dataBar>
        <cfvo type="min"/>
        <cfvo type="max"/>
        <color rgb="FF63C384"/>
      </dataBar>
      <extLst>
        <ext xmlns:x14="http://schemas.microsoft.com/office/spreadsheetml/2009/9/main" uri="{B025F937-C7B1-47D3-B67F-A62EFF666E3E}">
          <x14:id>{0074CA9A-015C-413F-BC30-9AF66C468C08}</x14:id>
        </ext>
      </extLst>
    </cfRule>
  </conditionalFormatting>
  <conditionalFormatting sqref="AA28:AA31">
    <cfRule type="dataBar" priority="341">
      <dataBar>
        <cfvo type="min"/>
        <cfvo type="max"/>
        <color rgb="FF63C384"/>
      </dataBar>
      <extLst>
        <ext xmlns:x14="http://schemas.microsoft.com/office/spreadsheetml/2009/9/main" uri="{B025F937-C7B1-47D3-B67F-A62EFF666E3E}">
          <x14:id>{BF33D609-0409-4592-AB4E-C2AACE870F60}</x14:id>
        </ext>
      </extLst>
    </cfRule>
  </conditionalFormatting>
  <conditionalFormatting sqref="AA34">
    <cfRule type="dataBar" priority="264">
      <dataBar>
        <cfvo type="min"/>
        <cfvo type="max"/>
        <color rgb="FF63C384"/>
      </dataBar>
      <extLst>
        <ext xmlns:x14="http://schemas.microsoft.com/office/spreadsheetml/2009/9/main" uri="{B025F937-C7B1-47D3-B67F-A62EFF666E3E}">
          <x14:id>{71E304BC-898F-450C-BCDE-6E0E3412B542}</x14:id>
        </ext>
      </extLst>
    </cfRule>
    <cfRule type="dataBar" priority="265">
      <dataBar>
        <cfvo type="min"/>
        <cfvo type="max"/>
        <color rgb="FF63C384"/>
      </dataBar>
      <extLst>
        <ext xmlns:x14="http://schemas.microsoft.com/office/spreadsheetml/2009/9/main" uri="{B025F937-C7B1-47D3-B67F-A62EFF666E3E}">
          <x14:id>{6587AF2F-3C99-4EC0-B116-9B1D5FC9CD00}</x14:id>
        </ext>
      </extLst>
    </cfRule>
  </conditionalFormatting>
  <conditionalFormatting sqref="AA35">
    <cfRule type="dataBar" priority="328">
      <dataBar>
        <cfvo type="min"/>
        <cfvo type="max"/>
        <color rgb="FF63C384"/>
      </dataBar>
      <extLst>
        <ext xmlns:x14="http://schemas.microsoft.com/office/spreadsheetml/2009/9/main" uri="{B025F937-C7B1-47D3-B67F-A62EFF666E3E}">
          <x14:id>{C2456233-BE91-4FB8-8C8F-7D1F93D0BFB9}</x14:id>
        </ext>
      </extLst>
    </cfRule>
    <cfRule type="dataBar" priority="340">
      <dataBar>
        <cfvo type="min"/>
        <cfvo type="max"/>
        <color rgb="FF63C384"/>
      </dataBar>
      <extLst>
        <ext xmlns:x14="http://schemas.microsoft.com/office/spreadsheetml/2009/9/main" uri="{B025F937-C7B1-47D3-B67F-A62EFF666E3E}">
          <x14:id>{3D298345-EE6D-4B3C-8C78-EC73DF85D47B}</x14:id>
        </ext>
      </extLst>
    </cfRule>
  </conditionalFormatting>
  <conditionalFormatting sqref="AA39">
    <cfRule type="dataBar" priority="263">
      <dataBar>
        <cfvo type="min"/>
        <cfvo type="max"/>
        <color rgb="FF63C384"/>
      </dataBar>
      <extLst>
        <ext xmlns:x14="http://schemas.microsoft.com/office/spreadsheetml/2009/9/main" uri="{B025F937-C7B1-47D3-B67F-A62EFF666E3E}">
          <x14:id>{4A972198-99A0-4DF6-B8B5-41488035EBF7}</x14:id>
        </ext>
      </extLst>
    </cfRule>
    <cfRule type="dataBar" priority="262">
      <dataBar>
        <cfvo type="min"/>
        <cfvo type="max"/>
        <color rgb="FF63C384"/>
      </dataBar>
      <extLst>
        <ext xmlns:x14="http://schemas.microsoft.com/office/spreadsheetml/2009/9/main" uri="{B025F937-C7B1-47D3-B67F-A62EFF666E3E}">
          <x14:id>{23B64667-2CBE-4965-B09A-BC8CC1ED8691}</x14:id>
        </ext>
      </extLst>
    </cfRule>
  </conditionalFormatting>
  <conditionalFormatting sqref="AA40:AA42">
    <cfRule type="dataBar" priority="327">
      <dataBar>
        <cfvo type="min"/>
        <cfvo type="max"/>
        <color rgb="FF63C384"/>
      </dataBar>
      <extLst>
        <ext xmlns:x14="http://schemas.microsoft.com/office/spreadsheetml/2009/9/main" uri="{B025F937-C7B1-47D3-B67F-A62EFF666E3E}">
          <x14:id>{21205B9D-60DB-4440-8F14-706CEDDB6A13}</x14:id>
        </ext>
      </extLst>
    </cfRule>
    <cfRule type="dataBar" priority="339">
      <dataBar>
        <cfvo type="min"/>
        <cfvo type="max"/>
        <color rgb="FF63C384"/>
      </dataBar>
      <extLst>
        <ext xmlns:x14="http://schemas.microsoft.com/office/spreadsheetml/2009/9/main" uri="{B025F937-C7B1-47D3-B67F-A62EFF666E3E}">
          <x14:id>{C0B18A4B-0F70-4285-8FE7-61F2C4865E70}</x14:id>
        </ext>
      </extLst>
    </cfRule>
  </conditionalFormatting>
  <conditionalFormatting sqref="AA46">
    <cfRule type="dataBar" priority="261">
      <dataBar>
        <cfvo type="min"/>
        <cfvo type="max"/>
        <color rgb="FF63C384"/>
      </dataBar>
      <extLst>
        <ext xmlns:x14="http://schemas.microsoft.com/office/spreadsheetml/2009/9/main" uri="{B025F937-C7B1-47D3-B67F-A62EFF666E3E}">
          <x14:id>{53B0614C-BA1D-4C54-B56C-B0864AAEFCBA}</x14:id>
        </ext>
      </extLst>
    </cfRule>
    <cfRule type="dataBar" priority="260">
      <dataBar>
        <cfvo type="min"/>
        <cfvo type="max"/>
        <color rgb="FF63C384"/>
      </dataBar>
      <extLst>
        <ext xmlns:x14="http://schemas.microsoft.com/office/spreadsheetml/2009/9/main" uri="{B025F937-C7B1-47D3-B67F-A62EFF666E3E}">
          <x14:id>{B83513DF-7112-4D83-A640-B70A46CDBF81}</x14:id>
        </ext>
      </extLst>
    </cfRule>
  </conditionalFormatting>
  <conditionalFormatting sqref="AA47:AA48">
    <cfRule type="dataBar" priority="326">
      <dataBar>
        <cfvo type="min"/>
        <cfvo type="max"/>
        <color rgb="FF63C384"/>
      </dataBar>
      <extLst>
        <ext xmlns:x14="http://schemas.microsoft.com/office/spreadsheetml/2009/9/main" uri="{B025F937-C7B1-47D3-B67F-A62EFF666E3E}">
          <x14:id>{B03A5592-A03E-4F88-B3D4-B2A49938A561}</x14:id>
        </ext>
      </extLst>
    </cfRule>
    <cfRule type="dataBar" priority="338">
      <dataBar>
        <cfvo type="min"/>
        <cfvo type="max"/>
        <color rgb="FF63C384"/>
      </dataBar>
      <extLst>
        <ext xmlns:x14="http://schemas.microsoft.com/office/spreadsheetml/2009/9/main" uri="{B025F937-C7B1-47D3-B67F-A62EFF666E3E}">
          <x14:id>{0E378E18-7A21-47C2-B1DD-00286CEAC8FE}</x14:id>
        </ext>
      </extLst>
    </cfRule>
  </conditionalFormatting>
  <conditionalFormatting sqref="AI4">
    <cfRule type="dataBar" priority="259">
      <dataBar>
        <cfvo type="min"/>
        <cfvo type="max"/>
        <color rgb="FF63C384"/>
      </dataBar>
      <extLst>
        <ext xmlns:x14="http://schemas.microsoft.com/office/spreadsheetml/2009/9/main" uri="{B025F937-C7B1-47D3-B67F-A62EFF666E3E}">
          <x14:id>{A25350F9-7CEF-4DBA-8677-61710D2ECD04}</x14:id>
        </ext>
      </extLst>
    </cfRule>
    <cfRule type="dataBar" priority="258">
      <dataBar>
        <cfvo type="min"/>
        <cfvo type="max"/>
        <color rgb="FF63C384"/>
      </dataBar>
      <extLst>
        <ext xmlns:x14="http://schemas.microsoft.com/office/spreadsheetml/2009/9/main" uri="{B025F937-C7B1-47D3-B67F-A62EFF666E3E}">
          <x14:id>{1D8CA3EE-4BAC-4397-B92C-2EE2656CA289}</x14:id>
        </ext>
      </extLst>
    </cfRule>
  </conditionalFormatting>
  <conditionalFormatting sqref="AI5:AI14">
    <cfRule type="dataBar" priority="325">
      <dataBar>
        <cfvo type="min"/>
        <cfvo type="max"/>
        <color rgb="FF63C384"/>
      </dataBar>
      <extLst>
        <ext xmlns:x14="http://schemas.microsoft.com/office/spreadsheetml/2009/9/main" uri="{B025F937-C7B1-47D3-B67F-A62EFF666E3E}">
          <x14:id>{95E9498F-A169-4108-9D0A-D847A03A4EB3}</x14:id>
        </ext>
      </extLst>
    </cfRule>
    <cfRule type="dataBar" priority="313">
      <dataBar>
        <cfvo type="min"/>
        <cfvo type="max"/>
        <color rgb="FF63C384"/>
      </dataBar>
      <extLst>
        <ext xmlns:x14="http://schemas.microsoft.com/office/spreadsheetml/2009/9/main" uri="{B025F937-C7B1-47D3-B67F-A62EFF666E3E}">
          <x14:id>{688A4ED2-AA88-41C3-80D1-81DB2E640DAA}</x14:id>
        </ext>
      </extLst>
    </cfRule>
  </conditionalFormatting>
  <conditionalFormatting sqref="AI18">
    <cfRule type="dataBar" priority="257">
      <dataBar>
        <cfvo type="min"/>
        <cfvo type="max"/>
        <color rgb="FF63C384"/>
      </dataBar>
      <extLst>
        <ext xmlns:x14="http://schemas.microsoft.com/office/spreadsheetml/2009/9/main" uri="{B025F937-C7B1-47D3-B67F-A62EFF666E3E}">
          <x14:id>{FFB80C79-FC42-438A-B541-63B3FEE38D12}</x14:id>
        </ext>
      </extLst>
    </cfRule>
    <cfRule type="dataBar" priority="256">
      <dataBar>
        <cfvo type="min"/>
        <cfvo type="max"/>
        <color rgb="FF63C384"/>
      </dataBar>
      <extLst>
        <ext xmlns:x14="http://schemas.microsoft.com/office/spreadsheetml/2009/9/main" uri="{B025F937-C7B1-47D3-B67F-A62EFF666E3E}">
          <x14:id>{818ACF86-6FA3-4BCF-81BA-B7622995EE78}</x14:id>
        </ext>
      </extLst>
    </cfRule>
  </conditionalFormatting>
  <conditionalFormatting sqref="AI19:AI23">
    <cfRule type="dataBar" priority="324">
      <dataBar>
        <cfvo type="min"/>
        <cfvo type="max"/>
        <color rgb="FF63C384"/>
      </dataBar>
      <extLst>
        <ext xmlns:x14="http://schemas.microsoft.com/office/spreadsheetml/2009/9/main" uri="{B025F937-C7B1-47D3-B67F-A62EFF666E3E}">
          <x14:id>{C63490A1-081A-46EF-8121-346A4E176962}</x14:id>
        </ext>
      </extLst>
    </cfRule>
    <cfRule type="dataBar" priority="312">
      <dataBar>
        <cfvo type="min"/>
        <cfvo type="max"/>
        <color rgb="FF63C384"/>
      </dataBar>
      <extLst>
        <ext xmlns:x14="http://schemas.microsoft.com/office/spreadsheetml/2009/9/main" uri="{B025F937-C7B1-47D3-B67F-A62EFF666E3E}">
          <x14:id>{A9773A85-8C73-4310-B25E-5AA64EB739D6}</x14:id>
        </ext>
      </extLst>
    </cfRule>
  </conditionalFormatting>
  <conditionalFormatting sqref="AI27">
    <cfRule type="dataBar" priority="255">
      <dataBar>
        <cfvo type="min"/>
        <cfvo type="max"/>
        <color rgb="FF63C384"/>
      </dataBar>
      <extLst>
        <ext xmlns:x14="http://schemas.microsoft.com/office/spreadsheetml/2009/9/main" uri="{B025F937-C7B1-47D3-B67F-A62EFF666E3E}">
          <x14:id>{EB19B51B-BDE4-4F16-8F77-603AFF4ACE6C}</x14:id>
        </ext>
      </extLst>
    </cfRule>
    <cfRule type="dataBar" priority="254">
      <dataBar>
        <cfvo type="min"/>
        <cfvo type="max"/>
        <color rgb="FF63C384"/>
      </dataBar>
      <extLst>
        <ext xmlns:x14="http://schemas.microsoft.com/office/spreadsheetml/2009/9/main" uri="{B025F937-C7B1-47D3-B67F-A62EFF666E3E}">
          <x14:id>{E04BF0DB-ECE2-4554-A7F1-0C68075A9DB1}</x14:id>
        </ext>
      </extLst>
    </cfRule>
  </conditionalFormatting>
  <conditionalFormatting sqref="AI28:AI30">
    <cfRule type="dataBar" priority="311">
      <dataBar>
        <cfvo type="min"/>
        <cfvo type="max"/>
        <color rgb="FF63C384"/>
      </dataBar>
      <extLst>
        <ext xmlns:x14="http://schemas.microsoft.com/office/spreadsheetml/2009/9/main" uri="{B025F937-C7B1-47D3-B67F-A62EFF666E3E}">
          <x14:id>{8005C808-4BFF-4D2B-AACF-751F0E5D07A8}</x14:id>
        </ext>
      </extLst>
    </cfRule>
  </conditionalFormatting>
  <conditionalFormatting sqref="AI28:AI31">
    <cfRule type="dataBar" priority="323">
      <dataBar>
        <cfvo type="min"/>
        <cfvo type="max"/>
        <color rgb="FF63C384"/>
      </dataBar>
      <extLst>
        <ext xmlns:x14="http://schemas.microsoft.com/office/spreadsheetml/2009/9/main" uri="{B025F937-C7B1-47D3-B67F-A62EFF666E3E}">
          <x14:id>{B038FDB4-02C9-48B2-A206-EF772F6EC9CF}</x14:id>
        </ext>
      </extLst>
    </cfRule>
  </conditionalFormatting>
  <conditionalFormatting sqref="AI34">
    <cfRule type="dataBar" priority="253">
      <dataBar>
        <cfvo type="min"/>
        <cfvo type="max"/>
        <color rgb="FF63C384"/>
      </dataBar>
      <extLst>
        <ext xmlns:x14="http://schemas.microsoft.com/office/spreadsheetml/2009/9/main" uri="{B025F937-C7B1-47D3-B67F-A62EFF666E3E}">
          <x14:id>{951602BE-ABEA-4098-85D3-6A4B6B9641E2}</x14:id>
        </ext>
      </extLst>
    </cfRule>
    <cfRule type="dataBar" priority="252">
      <dataBar>
        <cfvo type="min"/>
        <cfvo type="max"/>
        <color rgb="FF63C384"/>
      </dataBar>
      <extLst>
        <ext xmlns:x14="http://schemas.microsoft.com/office/spreadsheetml/2009/9/main" uri="{B025F937-C7B1-47D3-B67F-A62EFF666E3E}">
          <x14:id>{E39E6526-300D-42D8-AA4C-D2C6A48C64D8}</x14:id>
        </ext>
      </extLst>
    </cfRule>
  </conditionalFormatting>
  <conditionalFormatting sqref="AI35">
    <cfRule type="dataBar" priority="322">
      <dataBar>
        <cfvo type="min"/>
        <cfvo type="max"/>
        <color rgb="FF63C384"/>
      </dataBar>
      <extLst>
        <ext xmlns:x14="http://schemas.microsoft.com/office/spreadsheetml/2009/9/main" uri="{B025F937-C7B1-47D3-B67F-A62EFF666E3E}">
          <x14:id>{8CA6BE29-8DE1-49CA-B6C5-62C54D141B38}</x14:id>
        </ext>
      </extLst>
    </cfRule>
    <cfRule type="dataBar" priority="310">
      <dataBar>
        <cfvo type="min"/>
        <cfvo type="max"/>
        <color rgb="FF63C384"/>
      </dataBar>
      <extLst>
        <ext xmlns:x14="http://schemas.microsoft.com/office/spreadsheetml/2009/9/main" uri="{B025F937-C7B1-47D3-B67F-A62EFF666E3E}">
          <x14:id>{F1A80EC8-F26B-4483-B38A-2CC85FD38E53}</x14:id>
        </ext>
      </extLst>
    </cfRule>
  </conditionalFormatting>
  <conditionalFormatting sqref="AI39">
    <cfRule type="dataBar" priority="251">
      <dataBar>
        <cfvo type="min"/>
        <cfvo type="max"/>
        <color rgb="FF63C384"/>
      </dataBar>
      <extLst>
        <ext xmlns:x14="http://schemas.microsoft.com/office/spreadsheetml/2009/9/main" uri="{B025F937-C7B1-47D3-B67F-A62EFF666E3E}">
          <x14:id>{44E373C6-B207-4273-8304-A078C441CABF}</x14:id>
        </ext>
      </extLst>
    </cfRule>
    <cfRule type="dataBar" priority="250">
      <dataBar>
        <cfvo type="min"/>
        <cfvo type="max"/>
        <color rgb="FF63C384"/>
      </dataBar>
      <extLst>
        <ext xmlns:x14="http://schemas.microsoft.com/office/spreadsheetml/2009/9/main" uri="{B025F937-C7B1-47D3-B67F-A62EFF666E3E}">
          <x14:id>{7C806484-DB35-43F0-92D4-3C56A4E574F0}</x14:id>
        </ext>
      </extLst>
    </cfRule>
  </conditionalFormatting>
  <conditionalFormatting sqref="AI40:AI42">
    <cfRule type="dataBar" priority="321">
      <dataBar>
        <cfvo type="min"/>
        <cfvo type="max"/>
        <color rgb="FF63C384"/>
      </dataBar>
      <extLst>
        <ext xmlns:x14="http://schemas.microsoft.com/office/spreadsheetml/2009/9/main" uri="{B025F937-C7B1-47D3-B67F-A62EFF666E3E}">
          <x14:id>{06B2C580-6709-49E4-8949-0758972FA26E}</x14:id>
        </ext>
      </extLst>
    </cfRule>
    <cfRule type="dataBar" priority="309">
      <dataBar>
        <cfvo type="min"/>
        <cfvo type="max"/>
        <color rgb="FF63C384"/>
      </dataBar>
      <extLst>
        <ext xmlns:x14="http://schemas.microsoft.com/office/spreadsheetml/2009/9/main" uri="{B025F937-C7B1-47D3-B67F-A62EFF666E3E}">
          <x14:id>{F45526AA-1345-4B1F-A5AD-9D1BF6F5B6A7}</x14:id>
        </ext>
      </extLst>
    </cfRule>
  </conditionalFormatting>
  <conditionalFormatting sqref="AI46">
    <cfRule type="dataBar" priority="249">
      <dataBar>
        <cfvo type="min"/>
        <cfvo type="max"/>
        <color rgb="FF63C384"/>
      </dataBar>
      <extLst>
        <ext xmlns:x14="http://schemas.microsoft.com/office/spreadsheetml/2009/9/main" uri="{B025F937-C7B1-47D3-B67F-A62EFF666E3E}">
          <x14:id>{3A110A48-32D2-46B7-93BB-1C1719A91B34}</x14:id>
        </ext>
      </extLst>
    </cfRule>
    <cfRule type="dataBar" priority="248">
      <dataBar>
        <cfvo type="min"/>
        <cfvo type="max"/>
        <color rgb="FF63C384"/>
      </dataBar>
      <extLst>
        <ext xmlns:x14="http://schemas.microsoft.com/office/spreadsheetml/2009/9/main" uri="{B025F937-C7B1-47D3-B67F-A62EFF666E3E}">
          <x14:id>{C8F429FF-83BA-4B70-97B7-48D69B8682DC}</x14:id>
        </ext>
      </extLst>
    </cfRule>
  </conditionalFormatting>
  <conditionalFormatting sqref="AI47:AI48">
    <cfRule type="dataBar" priority="308">
      <dataBar>
        <cfvo type="min"/>
        <cfvo type="max"/>
        <color rgb="FF63C384"/>
      </dataBar>
      <extLst>
        <ext xmlns:x14="http://schemas.microsoft.com/office/spreadsheetml/2009/9/main" uri="{B025F937-C7B1-47D3-B67F-A62EFF666E3E}">
          <x14:id>{A937C731-C95B-49AB-AA21-C5732841EE24}</x14:id>
        </ext>
      </extLst>
    </cfRule>
    <cfRule type="dataBar" priority="320">
      <dataBar>
        <cfvo type="min"/>
        <cfvo type="max"/>
        <color rgb="FF63C384"/>
      </dataBar>
      <extLst>
        <ext xmlns:x14="http://schemas.microsoft.com/office/spreadsheetml/2009/9/main" uri="{B025F937-C7B1-47D3-B67F-A62EFF666E3E}">
          <x14:id>{B4D7A021-4936-4C5D-99A6-D141E1B1BA8B}</x14:id>
        </ext>
      </extLst>
    </cfRule>
  </conditionalFormatting>
  <conditionalFormatting sqref="AQ4">
    <cfRule type="dataBar" priority="247">
      <dataBar>
        <cfvo type="min"/>
        <cfvo type="max"/>
        <color rgb="FF63C384"/>
      </dataBar>
      <extLst>
        <ext xmlns:x14="http://schemas.microsoft.com/office/spreadsheetml/2009/9/main" uri="{B025F937-C7B1-47D3-B67F-A62EFF666E3E}">
          <x14:id>{87A8CCB7-FCEB-455F-A721-BA8CDFB1E19D}</x14:id>
        </ext>
      </extLst>
    </cfRule>
    <cfRule type="dataBar" priority="246">
      <dataBar>
        <cfvo type="min"/>
        <cfvo type="max"/>
        <color rgb="FF63C384"/>
      </dataBar>
      <extLst>
        <ext xmlns:x14="http://schemas.microsoft.com/office/spreadsheetml/2009/9/main" uri="{B025F937-C7B1-47D3-B67F-A62EFF666E3E}">
          <x14:id>{ED17B33D-7F7F-44C6-BADB-D13D5EDAD667}</x14:id>
        </ext>
      </extLst>
    </cfRule>
  </conditionalFormatting>
  <conditionalFormatting sqref="AQ5:AQ14">
    <cfRule type="dataBar" priority="295">
      <dataBar>
        <cfvo type="min"/>
        <cfvo type="max"/>
        <color rgb="FF63C384"/>
      </dataBar>
      <extLst>
        <ext xmlns:x14="http://schemas.microsoft.com/office/spreadsheetml/2009/9/main" uri="{B025F937-C7B1-47D3-B67F-A62EFF666E3E}">
          <x14:id>{D58E6E07-00BF-4690-96F7-F6D2728ABEA3}</x14:id>
        </ext>
      </extLst>
    </cfRule>
    <cfRule type="dataBar" priority="307">
      <dataBar>
        <cfvo type="min"/>
        <cfvo type="max"/>
        <color rgb="FF63C384"/>
      </dataBar>
      <extLst>
        <ext xmlns:x14="http://schemas.microsoft.com/office/spreadsheetml/2009/9/main" uri="{B025F937-C7B1-47D3-B67F-A62EFF666E3E}">
          <x14:id>{C4362EC2-72D1-4ECB-8E3B-62054CFEE6DC}</x14:id>
        </ext>
      </extLst>
    </cfRule>
  </conditionalFormatting>
  <conditionalFormatting sqref="AQ18:AQ23">
    <cfRule type="dataBar" priority="244">
      <dataBar>
        <cfvo type="min"/>
        <cfvo type="max"/>
        <color rgb="FF63C384"/>
      </dataBar>
      <extLst>
        <ext xmlns:x14="http://schemas.microsoft.com/office/spreadsheetml/2009/9/main" uri="{B025F937-C7B1-47D3-B67F-A62EFF666E3E}">
          <x14:id>{97EB281F-C515-4FBA-A3A9-C1A123991CF0}</x14:id>
        </ext>
      </extLst>
    </cfRule>
    <cfRule type="dataBar" priority="245">
      <dataBar>
        <cfvo type="min"/>
        <cfvo type="max"/>
        <color rgb="FF63C384"/>
      </dataBar>
      <extLst>
        <ext xmlns:x14="http://schemas.microsoft.com/office/spreadsheetml/2009/9/main" uri="{B025F937-C7B1-47D3-B67F-A62EFF666E3E}">
          <x14:id>{D9D3E760-19AB-4F79-92D9-F0F74F34C1C5}</x14:id>
        </ext>
      </extLst>
    </cfRule>
  </conditionalFormatting>
  <conditionalFormatting sqref="AQ27">
    <cfRule type="dataBar" priority="243">
      <dataBar>
        <cfvo type="min"/>
        <cfvo type="max"/>
        <color rgb="FF63C384"/>
      </dataBar>
      <extLst>
        <ext xmlns:x14="http://schemas.microsoft.com/office/spreadsheetml/2009/9/main" uri="{B025F937-C7B1-47D3-B67F-A62EFF666E3E}">
          <x14:id>{5BB19304-A89F-404B-BB5D-A76A380B0D72}</x14:id>
        </ext>
      </extLst>
    </cfRule>
    <cfRule type="dataBar" priority="242">
      <dataBar>
        <cfvo type="min"/>
        <cfvo type="max"/>
        <color rgb="FF63C384"/>
      </dataBar>
      <extLst>
        <ext xmlns:x14="http://schemas.microsoft.com/office/spreadsheetml/2009/9/main" uri="{B025F937-C7B1-47D3-B67F-A62EFF666E3E}">
          <x14:id>{322F1818-22FA-4B43-A2EB-D2179F6CF9C7}</x14:id>
        </ext>
      </extLst>
    </cfRule>
  </conditionalFormatting>
  <conditionalFormatting sqref="AQ28:AQ30">
    <cfRule type="dataBar" priority="293">
      <dataBar>
        <cfvo type="min"/>
        <cfvo type="max"/>
        <color rgb="FF63C384"/>
      </dataBar>
      <extLst>
        <ext xmlns:x14="http://schemas.microsoft.com/office/spreadsheetml/2009/9/main" uri="{B025F937-C7B1-47D3-B67F-A62EFF666E3E}">
          <x14:id>{59430360-AFE2-4E09-A4A2-752A803A0F06}</x14:id>
        </ext>
      </extLst>
    </cfRule>
  </conditionalFormatting>
  <conditionalFormatting sqref="AQ28:AQ31">
    <cfRule type="dataBar" priority="305">
      <dataBar>
        <cfvo type="min"/>
        <cfvo type="max"/>
        <color rgb="FF63C384"/>
      </dataBar>
      <extLst>
        <ext xmlns:x14="http://schemas.microsoft.com/office/spreadsheetml/2009/9/main" uri="{B025F937-C7B1-47D3-B67F-A62EFF666E3E}">
          <x14:id>{CD93D381-8E79-45F9-846A-E1E5318D119B}</x14:id>
        </ext>
      </extLst>
    </cfRule>
  </conditionalFormatting>
  <conditionalFormatting sqref="AQ34">
    <cfRule type="dataBar" priority="240">
      <dataBar>
        <cfvo type="min"/>
        <cfvo type="max"/>
        <color rgb="FF63C384"/>
      </dataBar>
      <extLst>
        <ext xmlns:x14="http://schemas.microsoft.com/office/spreadsheetml/2009/9/main" uri="{B025F937-C7B1-47D3-B67F-A62EFF666E3E}">
          <x14:id>{5813A2A3-8505-4F19-836F-885C231EF8B2}</x14:id>
        </ext>
      </extLst>
    </cfRule>
    <cfRule type="dataBar" priority="241">
      <dataBar>
        <cfvo type="min"/>
        <cfvo type="max"/>
        <color rgb="FF63C384"/>
      </dataBar>
      <extLst>
        <ext xmlns:x14="http://schemas.microsoft.com/office/spreadsheetml/2009/9/main" uri="{B025F937-C7B1-47D3-B67F-A62EFF666E3E}">
          <x14:id>{2B28E78C-3BBD-468E-A2B9-D71227A2646B}</x14:id>
        </ext>
      </extLst>
    </cfRule>
  </conditionalFormatting>
  <conditionalFormatting sqref="AQ35">
    <cfRule type="dataBar" priority="304">
      <dataBar>
        <cfvo type="min"/>
        <cfvo type="max"/>
        <color rgb="FF63C384"/>
      </dataBar>
      <extLst>
        <ext xmlns:x14="http://schemas.microsoft.com/office/spreadsheetml/2009/9/main" uri="{B025F937-C7B1-47D3-B67F-A62EFF666E3E}">
          <x14:id>{649BC105-C686-44F9-B589-1EDC54AAB396}</x14:id>
        </ext>
      </extLst>
    </cfRule>
    <cfRule type="dataBar" priority="292">
      <dataBar>
        <cfvo type="min"/>
        <cfvo type="max"/>
        <color rgb="FF63C384"/>
      </dataBar>
      <extLst>
        <ext xmlns:x14="http://schemas.microsoft.com/office/spreadsheetml/2009/9/main" uri="{B025F937-C7B1-47D3-B67F-A62EFF666E3E}">
          <x14:id>{BC689221-094F-4793-81C8-A073EE2E7153}</x14:id>
        </ext>
      </extLst>
    </cfRule>
  </conditionalFormatting>
  <conditionalFormatting sqref="AQ39">
    <cfRule type="dataBar" priority="239">
      <dataBar>
        <cfvo type="min"/>
        <cfvo type="max"/>
        <color rgb="FF63C384"/>
      </dataBar>
      <extLst>
        <ext xmlns:x14="http://schemas.microsoft.com/office/spreadsheetml/2009/9/main" uri="{B025F937-C7B1-47D3-B67F-A62EFF666E3E}">
          <x14:id>{D4B5B0C2-8E1F-4914-B2D4-D332616CA9E8}</x14:id>
        </ext>
      </extLst>
    </cfRule>
    <cfRule type="dataBar" priority="238">
      <dataBar>
        <cfvo type="min"/>
        <cfvo type="max"/>
        <color rgb="FF63C384"/>
      </dataBar>
      <extLst>
        <ext xmlns:x14="http://schemas.microsoft.com/office/spreadsheetml/2009/9/main" uri="{B025F937-C7B1-47D3-B67F-A62EFF666E3E}">
          <x14:id>{49E34CA0-946E-46D6-AD47-8801017C8EA6}</x14:id>
        </ext>
      </extLst>
    </cfRule>
  </conditionalFormatting>
  <conditionalFormatting sqref="AQ40:AQ42">
    <cfRule type="dataBar" priority="303">
      <dataBar>
        <cfvo type="min"/>
        <cfvo type="max"/>
        <color rgb="FF63C384"/>
      </dataBar>
      <extLst>
        <ext xmlns:x14="http://schemas.microsoft.com/office/spreadsheetml/2009/9/main" uri="{B025F937-C7B1-47D3-B67F-A62EFF666E3E}">
          <x14:id>{2C72C676-0776-47D3-990D-E009E605A4F7}</x14:id>
        </ext>
      </extLst>
    </cfRule>
    <cfRule type="dataBar" priority="291">
      <dataBar>
        <cfvo type="min"/>
        <cfvo type="max"/>
        <color rgb="FF63C384"/>
      </dataBar>
      <extLst>
        <ext xmlns:x14="http://schemas.microsoft.com/office/spreadsheetml/2009/9/main" uri="{B025F937-C7B1-47D3-B67F-A62EFF666E3E}">
          <x14:id>{E5028AE2-F519-40B8-9B83-03182D8B4376}</x14:id>
        </ext>
      </extLst>
    </cfRule>
  </conditionalFormatting>
  <conditionalFormatting sqref="AQ46">
    <cfRule type="dataBar" priority="237">
      <dataBar>
        <cfvo type="min"/>
        <cfvo type="max"/>
        <color rgb="FF63C384"/>
      </dataBar>
      <extLst>
        <ext xmlns:x14="http://schemas.microsoft.com/office/spreadsheetml/2009/9/main" uri="{B025F937-C7B1-47D3-B67F-A62EFF666E3E}">
          <x14:id>{8F632452-321C-4411-B447-465419B57EAA}</x14:id>
        </ext>
      </extLst>
    </cfRule>
    <cfRule type="dataBar" priority="236">
      <dataBar>
        <cfvo type="min"/>
        <cfvo type="max"/>
        <color rgb="FF63C384"/>
      </dataBar>
      <extLst>
        <ext xmlns:x14="http://schemas.microsoft.com/office/spreadsheetml/2009/9/main" uri="{B025F937-C7B1-47D3-B67F-A62EFF666E3E}">
          <x14:id>{F8DA7C10-8063-4ECE-B69C-2D4EBDC4F505}</x14:id>
        </ext>
      </extLst>
    </cfRule>
  </conditionalFormatting>
  <conditionalFormatting sqref="AQ47:AQ48">
    <cfRule type="dataBar" priority="302">
      <dataBar>
        <cfvo type="min"/>
        <cfvo type="max"/>
        <color rgb="FF63C384"/>
      </dataBar>
      <extLst>
        <ext xmlns:x14="http://schemas.microsoft.com/office/spreadsheetml/2009/9/main" uri="{B025F937-C7B1-47D3-B67F-A62EFF666E3E}">
          <x14:id>{D6F2B750-AC3A-49F7-8634-BFE94E8D1558}</x14:id>
        </ext>
      </extLst>
    </cfRule>
    <cfRule type="dataBar" priority="290">
      <dataBar>
        <cfvo type="min"/>
        <cfvo type="max"/>
        <color rgb="FF63C384"/>
      </dataBar>
      <extLst>
        <ext xmlns:x14="http://schemas.microsoft.com/office/spreadsheetml/2009/9/main" uri="{B025F937-C7B1-47D3-B67F-A62EFF666E3E}">
          <x14:id>{BCF98E22-860C-4B9B-A6FB-8181F67530E3}</x14:id>
        </ext>
      </extLst>
    </cfRule>
  </conditionalFormatting>
  <conditionalFormatting sqref="AY4">
    <cfRule type="dataBar" priority="235">
      <dataBar>
        <cfvo type="min"/>
        <cfvo type="max"/>
        <color rgb="FF63C384"/>
      </dataBar>
      <extLst>
        <ext xmlns:x14="http://schemas.microsoft.com/office/spreadsheetml/2009/9/main" uri="{B025F937-C7B1-47D3-B67F-A62EFF666E3E}">
          <x14:id>{64AB13BB-CACB-44A0-A15B-64498ADF7DD0}</x14:id>
        </ext>
      </extLst>
    </cfRule>
    <cfRule type="dataBar" priority="234">
      <dataBar>
        <cfvo type="min"/>
        <cfvo type="max"/>
        <color rgb="FF63C384"/>
      </dataBar>
      <extLst>
        <ext xmlns:x14="http://schemas.microsoft.com/office/spreadsheetml/2009/9/main" uri="{B025F937-C7B1-47D3-B67F-A62EFF666E3E}">
          <x14:id>{B949830C-7CC7-4004-A7FC-680A9AFD32BF}</x14:id>
        </ext>
      </extLst>
    </cfRule>
  </conditionalFormatting>
  <conditionalFormatting sqref="AY5:AY14">
    <cfRule type="dataBar" priority="289">
      <dataBar>
        <cfvo type="min"/>
        <cfvo type="max"/>
        <color rgb="FF63C384"/>
      </dataBar>
      <extLst>
        <ext xmlns:x14="http://schemas.microsoft.com/office/spreadsheetml/2009/9/main" uri="{B025F937-C7B1-47D3-B67F-A62EFF666E3E}">
          <x14:id>{C74B4738-E74A-4A72-AD64-CA2D5FEDCA36}</x14:id>
        </ext>
      </extLst>
    </cfRule>
    <cfRule type="dataBar" priority="277">
      <dataBar>
        <cfvo type="min"/>
        <cfvo type="max"/>
        <color rgb="FF63C384"/>
      </dataBar>
      <extLst>
        <ext xmlns:x14="http://schemas.microsoft.com/office/spreadsheetml/2009/9/main" uri="{B025F937-C7B1-47D3-B67F-A62EFF666E3E}">
          <x14:id>{0467C094-893B-4F9D-9840-A989C9AE4251}</x14:id>
        </ext>
      </extLst>
    </cfRule>
  </conditionalFormatting>
  <conditionalFormatting sqref="AY18">
    <cfRule type="dataBar" priority="233">
      <dataBar>
        <cfvo type="min"/>
        <cfvo type="max"/>
        <color rgb="FF63C384"/>
      </dataBar>
      <extLst>
        <ext xmlns:x14="http://schemas.microsoft.com/office/spreadsheetml/2009/9/main" uri="{B025F937-C7B1-47D3-B67F-A62EFF666E3E}">
          <x14:id>{691DF3B2-140A-4999-B3B2-06A79F7B6082}</x14:id>
        </ext>
      </extLst>
    </cfRule>
    <cfRule type="dataBar" priority="232">
      <dataBar>
        <cfvo type="min"/>
        <cfvo type="max"/>
        <color rgb="FF63C384"/>
      </dataBar>
      <extLst>
        <ext xmlns:x14="http://schemas.microsoft.com/office/spreadsheetml/2009/9/main" uri="{B025F937-C7B1-47D3-B67F-A62EFF666E3E}">
          <x14:id>{276FD2AD-F64D-45B6-9D95-7AE6BF5EC88A}</x14:id>
        </ext>
      </extLst>
    </cfRule>
  </conditionalFormatting>
  <conditionalFormatting sqref="AY19:AY23">
    <cfRule type="dataBar" priority="288">
      <dataBar>
        <cfvo type="min"/>
        <cfvo type="max"/>
        <color rgb="FF63C384"/>
      </dataBar>
      <extLst>
        <ext xmlns:x14="http://schemas.microsoft.com/office/spreadsheetml/2009/9/main" uri="{B025F937-C7B1-47D3-B67F-A62EFF666E3E}">
          <x14:id>{A0D8E557-0E0E-4DD0-82FC-28217E9FA7E1}</x14:id>
        </ext>
      </extLst>
    </cfRule>
    <cfRule type="dataBar" priority="276">
      <dataBar>
        <cfvo type="min"/>
        <cfvo type="max"/>
        <color rgb="FF63C384"/>
      </dataBar>
      <extLst>
        <ext xmlns:x14="http://schemas.microsoft.com/office/spreadsheetml/2009/9/main" uri="{B025F937-C7B1-47D3-B67F-A62EFF666E3E}">
          <x14:id>{4768B5C4-5557-496D-954D-16D13C5751FF}</x14:id>
        </ext>
      </extLst>
    </cfRule>
  </conditionalFormatting>
  <conditionalFormatting sqref="AY27">
    <cfRule type="dataBar" priority="231">
      <dataBar>
        <cfvo type="min"/>
        <cfvo type="max"/>
        <color rgb="FF63C384"/>
      </dataBar>
      <extLst>
        <ext xmlns:x14="http://schemas.microsoft.com/office/spreadsheetml/2009/9/main" uri="{B025F937-C7B1-47D3-B67F-A62EFF666E3E}">
          <x14:id>{777B5DB6-DE0F-4B21-8DCB-2CCFA08BD1F4}</x14:id>
        </ext>
      </extLst>
    </cfRule>
    <cfRule type="dataBar" priority="230">
      <dataBar>
        <cfvo type="min"/>
        <cfvo type="max"/>
        <color rgb="FF63C384"/>
      </dataBar>
      <extLst>
        <ext xmlns:x14="http://schemas.microsoft.com/office/spreadsheetml/2009/9/main" uri="{B025F937-C7B1-47D3-B67F-A62EFF666E3E}">
          <x14:id>{16C768BC-DE64-4181-8BDA-7A6744E3BE74}</x14:id>
        </ext>
      </extLst>
    </cfRule>
  </conditionalFormatting>
  <conditionalFormatting sqref="AY28:AY30">
    <cfRule type="dataBar" priority="275">
      <dataBar>
        <cfvo type="min"/>
        <cfvo type="max"/>
        <color rgb="FF63C384"/>
      </dataBar>
      <extLst>
        <ext xmlns:x14="http://schemas.microsoft.com/office/spreadsheetml/2009/9/main" uri="{B025F937-C7B1-47D3-B67F-A62EFF666E3E}">
          <x14:id>{6AD1C0EC-2050-4136-8CD4-918F9F2E8901}</x14:id>
        </ext>
      </extLst>
    </cfRule>
  </conditionalFormatting>
  <conditionalFormatting sqref="AY28:AY31">
    <cfRule type="dataBar" priority="287">
      <dataBar>
        <cfvo type="min"/>
        <cfvo type="max"/>
        <color rgb="FF63C384"/>
      </dataBar>
      <extLst>
        <ext xmlns:x14="http://schemas.microsoft.com/office/spreadsheetml/2009/9/main" uri="{B025F937-C7B1-47D3-B67F-A62EFF666E3E}">
          <x14:id>{27405D29-1039-4CD1-B52A-56A2F462C5C5}</x14:id>
        </ext>
      </extLst>
    </cfRule>
  </conditionalFormatting>
  <conditionalFormatting sqref="AY34">
    <cfRule type="dataBar" priority="229">
      <dataBar>
        <cfvo type="min"/>
        <cfvo type="max"/>
        <color rgb="FF63C384"/>
      </dataBar>
      <extLst>
        <ext xmlns:x14="http://schemas.microsoft.com/office/spreadsheetml/2009/9/main" uri="{B025F937-C7B1-47D3-B67F-A62EFF666E3E}">
          <x14:id>{B1F08AAA-DA19-4084-8A15-C51957E4481C}</x14:id>
        </ext>
      </extLst>
    </cfRule>
    <cfRule type="dataBar" priority="228">
      <dataBar>
        <cfvo type="min"/>
        <cfvo type="max"/>
        <color rgb="FF63C384"/>
      </dataBar>
      <extLst>
        <ext xmlns:x14="http://schemas.microsoft.com/office/spreadsheetml/2009/9/main" uri="{B025F937-C7B1-47D3-B67F-A62EFF666E3E}">
          <x14:id>{9C3EC746-172A-496C-B811-89CB1BE3F47D}</x14:id>
        </ext>
      </extLst>
    </cfRule>
  </conditionalFormatting>
  <conditionalFormatting sqref="AY35">
    <cfRule type="dataBar" priority="286">
      <dataBar>
        <cfvo type="min"/>
        <cfvo type="max"/>
        <color rgb="FF63C384"/>
      </dataBar>
      <extLst>
        <ext xmlns:x14="http://schemas.microsoft.com/office/spreadsheetml/2009/9/main" uri="{B025F937-C7B1-47D3-B67F-A62EFF666E3E}">
          <x14:id>{F62DE71E-8D32-42BB-8F3A-58D68868A60A}</x14:id>
        </ext>
      </extLst>
    </cfRule>
    <cfRule type="dataBar" priority="274">
      <dataBar>
        <cfvo type="min"/>
        <cfvo type="max"/>
        <color rgb="FF63C384"/>
      </dataBar>
      <extLst>
        <ext xmlns:x14="http://schemas.microsoft.com/office/spreadsheetml/2009/9/main" uri="{B025F937-C7B1-47D3-B67F-A62EFF666E3E}">
          <x14:id>{38BA4B0E-F412-4F79-AF42-5D1D8C5B1868}</x14:id>
        </ext>
      </extLst>
    </cfRule>
  </conditionalFormatting>
  <conditionalFormatting sqref="AY39">
    <cfRule type="dataBar" priority="226">
      <dataBar>
        <cfvo type="min"/>
        <cfvo type="max"/>
        <color rgb="FF63C384"/>
      </dataBar>
      <extLst>
        <ext xmlns:x14="http://schemas.microsoft.com/office/spreadsheetml/2009/9/main" uri="{B025F937-C7B1-47D3-B67F-A62EFF666E3E}">
          <x14:id>{B8603C60-6325-4901-A597-0B0C46E5431F}</x14:id>
        </ext>
      </extLst>
    </cfRule>
    <cfRule type="dataBar" priority="227">
      <dataBar>
        <cfvo type="min"/>
        <cfvo type="max"/>
        <color rgb="FF63C384"/>
      </dataBar>
      <extLst>
        <ext xmlns:x14="http://schemas.microsoft.com/office/spreadsheetml/2009/9/main" uri="{B025F937-C7B1-47D3-B67F-A62EFF666E3E}">
          <x14:id>{C40549C7-FFB8-435E-A7FC-F55D15E1C505}</x14:id>
        </ext>
      </extLst>
    </cfRule>
  </conditionalFormatting>
  <conditionalFormatting sqref="AY40:AY42">
    <cfRule type="dataBar" priority="273">
      <dataBar>
        <cfvo type="min"/>
        <cfvo type="max"/>
        <color rgb="FF63C384"/>
      </dataBar>
      <extLst>
        <ext xmlns:x14="http://schemas.microsoft.com/office/spreadsheetml/2009/9/main" uri="{B025F937-C7B1-47D3-B67F-A62EFF666E3E}">
          <x14:id>{9B7C8E1C-48D9-4C67-B1C9-865B01921579}</x14:id>
        </ext>
      </extLst>
    </cfRule>
    <cfRule type="dataBar" priority="285">
      <dataBar>
        <cfvo type="min"/>
        <cfvo type="max"/>
        <color rgb="FF63C384"/>
      </dataBar>
      <extLst>
        <ext xmlns:x14="http://schemas.microsoft.com/office/spreadsheetml/2009/9/main" uri="{B025F937-C7B1-47D3-B67F-A62EFF666E3E}">
          <x14:id>{411F5E62-DD75-4783-8E50-F7C3A000101E}</x14:id>
        </ext>
      </extLst>
    </cfRule>
  </conditionalFormatting>
  <conditionalFormatting sqref="AY46">
    <cfRule type="dataBar" priority="225">
      <dataBar>
        <cfvo type="min"/>
        <cfvo type="max"/>
        <color rgb="FF63C384"/>
      </dataBar>
      <extLst>
        <ext xmlns:x14="http://schemas.microsoft.com/office/spreadsheetml/2009/9/main" uri="{B025F937-C7B1-47D3-B67F-A62EFF666E3E}">
          <x14:id>{494D8596-66AC-456E-A3A8-EF386650C31E}</x14:id>
        </ext>
      </extLst>
    </cfRule>
    <cfRule type="dataBar" priority="224">
      <dataBar>
        <cfvo type="min"/>
        <cfvo type="max"/>
        <color rgb="FF63C384"/>
      </dataBar>
      <extLst>
        <ext xmlns:x14="http://schemas.microsoft.com/office/spreadsheetml/2009/9/main" uri="{B025F937-C7B1-47D3-B67F-A62EFF666E3E}">
          <x14:id>{ECDB6B45-EDB3-4A11-9063-AA97F265E5A7}</x14:id>
        </ext>
      </extLst>
    </cfRule>
  </conditionalFormatting>
  <conditionalFormatting sqref="AY47:AY48">
    <cfRule type="dataBar" priority="284">
      <dataBar>
        <cfvo type="min"/>
        <cfvo type="max"/>
        <color rgb="FF63C384"/>
      </dataBar>
      <extLst>
        <ext xmlns:x14="http://schemas.microsoft.com/office/spreadsheetml/2009/9/main" uri="{B025F937-C7B1-47D3-B67F-A62EFF666E3E}">
          <x14:id>{AE02EB93-16B1-42A7-80A9-9EF285013B18}</x14:id>
        </ext>
      </extLst>
    </cfRule>
    <cfRule type="dataBar" priority="272">
      <dataBar>
        <cfvo type="min"/>
        <cfvo type="max"/>
        <color rgb="FF63C384"/>
      </dataBar>
      <extLst>
        <ext xmlns:x14="http://schemas.microsoft.com/office/spreadsheetml/2009/9/main" uri="{B025F937-C7B1-47D3-B67F-A62EFF666E3E}">
          <x14:id>{D8C6A53E-1A8B-4132-8CD7-F80A5096EC67}</x14:id>
        </ext>
      </extLst>
    </cfRule>
  </conditionalFormatting>
  <conditionalFormatting sqref="BH34:BH35">
    <cfRule type="dataBar" priority="109">
      <dataBar>
        <cfvo type="min"/>
        <cfvo type="max"/>
        <color rgb="FF63C384"/>
      </dataBar>
      <extLst>
        <ext xmlns:x14="http://schemas.microsoft.com/office/spreadsheetml/2009/9/main" uri="{B025F937-C7B1-47D3-B67F-A62EFF666E3E}">
          <x14:id>{1689FCB3-6301-421A-A943-1A353A6EDD08}</x14:id>
        </ext>
      </extLst>
    </cfRule>
    <cfRule type="dataBar" priority="108">
      <dataBar>
        <cfvo type="min"/>
        <cfvo type="max"/>
        <color rgb="FF63C384"/>
      </dataBar>
      <extLst>
        <ext xmlns:x14="http://schemas.microsoft.com/office/spreadsheetml/2009/9/main" uri="{B025F937-C7B1-47D3-B67F-A62EFF666E3E}">
          <x14:id>{3A0EF77F-9DEC-4606-9146-DBC961647B09}</x14:id>
        </ext>
      </extLst>
    </cfRule>
  </conditionalFormatting>
  <conditionalFormatting sqref="BH4:BI14">
    <cfRule type="dataBar" priority="217">
      <dataBar>
        <cfvo type="min"/>
        <cfvo type="max"/>
        <color rgb="FF63C384"/>
      </dataBar>
      <extLst>
        <ext xmlns:x14="http://schemas.microsoft.com/office/spreadsheetml/2009/9/main" uri="{B025F937-C7B1-47D3-B67F-A62EFF666E3E}">
          <x14:id>{2E71795F-9EAD-485F-AC0E-A70B8AB7537D}</x14:id>
        </ext>
      </extLst>
    </cfRule>
  </conditionalFormatting>
  <conditionalFormatting sqref="BH18:BI23">
    <cfRule type="dataBar" priority="216">
      <dataBar>
        <cfvo type="min"/>
        <cfvo type="max"/>
        <color rgb="FF63C384"/>
      </dataBar>
      <extLst>
        <ext xmlns:x14="http://schemas.microsoft.com/office/spreadsheetml/2009/9/main" uri="{B025F937-C7B1-47D3-B67F-A62EFF666E3E}">
          <x14:id>{D33D9D24-97C7-4741-B50B-36A44A1C6625}</x14:id>
        </ext>
      </extLst>
    </cfRule>
  </conditionalFormatting>
  <conditionalFormatting sqref="BH27:BI31">
    <cfRule type="dataBar" priority="215">
      <dataBar>
        <cfvo type="min"/>
        <cfvo type="max"/>
        <color rgb="FF63C384"/>
      </dataBar>
      <extLst>
        <ext xmlns:x14="http://schemas.microsoft.com/office/spreadsheetml/2009/9/main" uri="{B025F937-C7B1-47D3-B67F-A62EFF666E3E}">
          <x14:id>{2775FB5D-1109-4EEA-902E-B16B6ACC276D}</x14:id>
        </ext>
      </extLst>
    </cfRule>
  </conditionalFormatting>
  <conditionalFormatting sqref="BH39:BI42">
    <cfRule type="dataBar" priority="213">
      <dataBar>
        <cfvo type="min"/>
        <cfvo type="max"/>
        <color rgb="FF63C384"/>
      </dataBar>
      <extLst>
        <ext xmlns:x14="http://schemas.microsoft.com/office/spreadsheetml/2009/9/main" uri="{B025F937-C7B1-47D3-B67F-A62EFF666E3E}">
          <x14:id>{1D9FAD72-C1DC-4BDF-809F-F0E5282BF3A2}</x14:id>
        </ext>
      </extLst>
    </cfRule>
  </conditionalFormatting>
  <conditionalFormatting sqref="BH46:BI48">
    <cfRule type="dataBar" priority="212">
      <dataBar>
        <cfvo type="min"/>
        <cfvo type="max"/>
        <color rgb="FF63C384"/>
      </dataBar>
      <extLst>
        <ext xmlns:x14="http://schemas.microsoft.com/office/spreadsheetml/2009/9/main" uri="{B025F937-C7B1-47D3-B67F-A62EFF666E3E}">
          <x14:id>{57145ACE-9BBA-4122-9D39-91504BF4A1C1}</x14:id>
        </ext>
      </extLst>
    </cfRule>
  </conditionalFormatting>
  <conditionalFormatting sqref="BI34:BI35">
    <cfRule type="dataBar" priority="214">
      <dataBar>
        <cfvo type="min"/>
        <cfvo type="max"/>
        <color rgb="FF63C384"/>
      </dataBar>
      <extLst>
        <ext xmlns:x14="http://schemas.microsoft.com/office/spreadsheetml/2009/9/main" uri="{B025F937-C7B1-47D3-B67F-A62EFF666E3E}">
          <x14:id>{158C2F9B-B267-4E8F-8B66-F66D2BB4541D}</x14:id>
        </ext>
      </extLst>
    </cfRule>
  </conditionalFormatting>
  <conditionalFormatting sqref="BP4:BP14">
    <cfRule type="dataBar" priority="107">
      <dataBar>
        <cfvo type="min"/>
        <cfvo type="max"/>
        <color rgb="FF63C384"/>
      </dataBar>
      <extLst>
        <ext xmlns:x14="http://schemas.microsoft.com/office/spreadsheetml/2009/9/main" uri="{B025F937-C7B1-47D3-B67F-A62EFF666E3E}">
          <x14:id>{38929549-7B5D-47F5-ACD1-A1A969827C00}</x14:id>
        </ext>
      </extLst>
    </cfRule>
    <cfRule type="dataBar" priority="211">
      <dataBar>
        <cfvo type="min"/>
        <cfvo type="max"/>
        <color rgb="FF63C384"/>
      </dataBar>
      <extLst>
        <ext xmlns:x14="http://schemas.microsoft.com/office/spreadsheetml/2009/9/main" uri="{B025F937-C7B1-47D3-B67F-A62EFF666E3E}">
          <x14:id>{8B3CF0FD-EA95-42F1-8207-7D23300D5FBF}</x14:id>
        </ext>
      </extLst>
    </cfRule>
    <cfRule type="dataBar" priority="205">
      <dataBar>
        <cfvo type="min"/>
        <cfvo type="max"/>
        <color rgb="FF63C384"/>
      </dataBar>
      <extLst>
        <ext xmlns:x14="http://schemas.microsoft.com/office/spreadsheetml/2009/9/main" uri="{B025F937-C7B1-47D3-B67F-A62EFF666E3E}">
          <x14:id>{7E022B61-CD16-4AB4-9330-AB18D3BC5041}</x14:id>
        </ext>
      </extLst>
    </cfRule>
  </conditionalFormatting>
  <conditionalFormatting sqref="BP5:BP14">
    <cfRule type="dataBar" priority="223">
      <dataBar>
        <cfvo type="min"/>
        <cfvo type="max"/>
        <color rgb="FF63C384"/>
      </dataBar>
      <extLst>
        <ext xmlns:x14="http://schemas.microsoft.com/office/spreadsheetml/2009/9/main" uri="{B025F937-C7B1-47D3-B67F-A62EFF666E3E}">
          <x14:id>{D891B922-E38D-4AB4-B0E2-449D750779BE}</x14:id>
        </ext>
      </extLst>
    </cfRule>
  </conditionalFormatting>
  <conditionalFormatting sqref="BP18:BP23">
    <cfRule type="dataBar" priority="210">
      <dataBar>
        <cfvo type="min"/>
        <cfvo type="max"/>
        <color rgb="FF63C384"/>
      </dataBar>
      <extLst>
        <ext xmlns:x14="http://schemas.microsoft.com/office/spreadsheetml/2009/9/main" uri="{B025F937-C7B1-47D3-B67F-A62EFF666E3E}">
          <x14:id>{8710320A-6756-4847-BA5E-E0178E7768FC}</x14:id>
        </ext>
      </extLst>
    </cfRule>
    <cfRule type="dataBar" priority="106">
      <dataBar>
        <cfvo type="min"/>
        <cfvo type="max"/>
        <color rgb="FF63C384"/>
      </dataBar>
      <extLst>
        <ext xmlns:x14="http://schemas.microsoft.com/office/spreadsheetml/2009/9/main" uri="{B025F937-C7B1-47D3-B67F-A62EFF666E3E}">
          <x14:id>{20022B58-BA1E-440F-AD2A-294A06B1B6CD}</x14:id>
        </ext>
      </extLst>
    </cfRule>
    <cfRule type="dataBar" priority="204">
      <dataBar>
        <cfvo type="min"/>
        <cfvo type="max"/>
        <color rgb="FF63C384"/>
      </dataBar>
      <extLst>
        <ext xmlns:x14="http://schemas.microsoft.com/office/spreadsheetml/2009/9/main" uri="{B025F937-C7B1-47D3-B67F-A62EFF666E3E}">
          <x14:id>{891E821C-E79E-4FF1-952B-B751E0ED1067}</x14:id>
        </ext>
      </extLst>
    </cfRule>
  </conditionalFormatting>
  <conditionalFormatting sqref="BP19:BP23">
    <cfRule type="dataBar" priority="222">
      <dataBar>
        <cfvo type="min"/>
        <cfvo type="max"/>
        <color rgb="FF63C384"/>
      </dataBar>
      <extLst>
        <ext xmlns:x14="http://schemas.microsoft.com/office/spreadsheetml/2009/9/main" uri="{B025F937-C7B1-47D3-B67F-A62EFF666E3E}">
          <x14:id>{AAE43D90-DD5C-4156-B611-A65C94F62F98}</x14:id>
        </ext>
      </extLst>
    </cfRule>
  </conditionalFormatting>
  <conditionalFormatting sqref="BP27:BP30">
    <cfRule type="dataBar" priority="209">
      <dataBar>
        <cfvo type="min"/>
        <cfvo type="max"/>
        <color rgb="FF63C384"/>
      </dataBar>
      <extLst>
        <ext xmlns:x14="http://schemas.microsoft.com/office/spreadsheetml/2009/9/main" uri="{B025F937-C7B1-47D3-B67F-A62EFF666E3E}">
          <x14:id>{A3DA5EEC-F176-4D69-969A-E15FC2510535}</x14:id>
        </ext>
      </extLst>
    </cfRule>
    <cfRule type="dataBar" priority="203">
      <dataBar>
        <cfvo type="min"/>
        <cfvo type="max"/>
        <color rgb="FF63C384"/>
      </dataBar>
      <extLst>
        <ext xmlns:x14="http://schemas.microsoft.com/office/spreadsheetml/2009/9/main" uri="{B025F937-C7B1-47D3-B67F-A62EFF666E3E}">
          <x14:id>{FA555925-744E-4627-94AC-37FE64BE9F71}</x14:id>
        </ext>
      </extLst>
    </cfRule>
  </conditionalFormatting>
  <conditionalFormatting sqref="BP27:BP31">
    <cfRule type="dataBar" priority="105">
      <dataBar>
        <cfvo type="min"/>
        <cfvo type="max"/>
        <color rgb="FF63C384"/>
      </dataBar>
      <extLst>
        <ext xmlns:x14="http://schemas.microsoft.com/office/spreadsheetml/2009/9/main" uri="{B025F937-C7B1-47D3-B67F-A62EFF666E3E}">
          <x14:id>{8EBEC40A-A74C-4EE3-B057-D47EB93726E9}</x14:id>
        </ext>
      </extLst>
    </cfRule>
  </conditionalFormatting>
  <conditionalFormatting sqref="BP28:BP31">
    <cfRule type="dataBar" priority="221">
      <dataBar>
        <cfvo type="min"/>
        <cfvo type="max"/>
        <color rgb="FF63C384"/>
      </dataBar>
      <extLst>
        <ext xmlns:x14="http://schemas.microsoft.com/office/spreadsheetml/2009/9/main" uri="{B025F937-C7B1-47D3-B67F-A62EFF666E3E}">
          <x14:id>{F5CEB597-7241-498F-91FF-97A8E936721F}</x14:id>
        </ext>
      </extLst>
    </cfRule>
  </conditionalFormatting>
  <conditionalFormatting sqref="BP34:BP35">
    <cfRule type="dataBar" priority="208">
      <dataBar>
        <cfvo type="min"/>
        <cfvo type="max"/>
        <color rgb="FF63C384"/>
      </dataBar>
      <extLst>
        <ext xmlns:x14="http://schemas.microsoft.com/office/spreadsheetml/2009/9/main" uri="{B025F937-C7B1-47D3-B67F-A62EFF666E3E}">
          <x14:id>{4CB5A86E-01A1-439C-A3CA-237484EBB920}</x14:id>
        </ext>
      </extLst>
    </cfRule>
    <cfRule type="dataBar" priority="101">
      <dataBar>
        <cfvo type="min"/>
        <cfvo type="max"/>
        <color rgb="FF63C384"/>
      </dataBar>
      <extLst>
        <ext xmlns:x14="http://schemas.microsoft.com/office/spreadsheetml/2009/9/main" uri="{B025F937-C7B1-47D3-B67F-A62EFF666E3E}">
          <x14:id>{3CBA2DC2-C00F-456D-8450-5CE76FFA632D}</x14:id>
        </ext>
      </extLst>
    </cfRule>
    <cfRule type="dataBar" priority="202">
      <dataBar>
        <cfvo type="min"/>
        <cfvo type="max"/>
        <color rgb="FF63C384"/>
      </dataBar>
      <extLst>
        <ext xmlns:x14="http://schemas.microsoft.com/office/spreadsheetml/2009/9/main" uri="{B025F937-C7B1-47D3-B67F-A62EFF666E3E}">
          <x14:id>{14CBD0E9-21DB-495A-9476-B90E83389045}</x14:id>
        </ext>
      </extLst>
    </cfRule>
    <cfRule type="dataBar" priority="102">
      <dataBar>
        <cfvo type="min"/>
        <cfvo type="max"/>
        <color rgb="FF63C384"/>
      </dataBar>
      <extLst>
        <ext xmlns:x14="http://schemas.microsoft.com/office/spreadsheetml/2009/9/main" uri="{B025F937-C7B1-47D3-B67F-A62EFF666E3E}">
          <x14:id>{0FF4DFFA-00F5-4476-A0B9-D5871A084E29}</x14:id>
        </ext>
      </extLst>
    </cfRule>
  </conditionalFormatting>
  <conditionalFormatting sqref="BP35">
    <cfRule type="dataBar" priority="220">
      <dataBar>
        <cfvo type="min"/>
        <cfvo type="max"/>
        <color rgb="FF63C384"/>
      </dataBar>
      <extLst>
        <ext xmlns:x14="http://schemas.microsoft.com/office/spreadsheetml/2009/9/main" uri="{B025F937-C7B1-47D3-B67F-A62EFF666E3E}">
          <x14:id>{3183B033-CBE2-4EC2-9C6D-1CD7519C4677}</x14:id>
        </ext>
      </extLst>
    </cfRule>
  </conditionalFormatting>
  <conditionalFormatting sqref="BP39:BP42">
    <cfRule type="dataBar" priority="104">
      <dataBar>
        <cfvo type="min"/>
        <cfvo type="max"/>
        <color rgb="FF63C384"/>
      </dataBar>
      <extLst>
        <ext xmlns:x14="http://schemas.microsoft.com/office/spreadsheetml/2009/9/main" uri="{B025F937-C7B1-47D3-B67F-A62EFF666E3E}">
          <x14:id>{55AF9BA9-91AB-4043-AB94-6EB99D29B870}</x14:id>
        </ext>
      </extLst>
    </cfRule>
    <cfRule type="dataBar" priority="207">
      <dataBar>
        <cfvo type="min"/>
        <cfvo type="max"/>
        <color rgb="FF63C384"/>
      </dataBar>
      <extLst>
        <ext xmlns:x14="http://schemas.microsoft.com/office/spreadsheetml/2009/9/main" uri="{B025F937-C7B1-47D3-B67F-A62EFF666E3E}">
          <x14:id>{13642F14-E8E0-48FA-9258-8E44F12E31E2}</x14:id>
        </ext>
      </extLst>
    </cfRule>
    <cfRule type="dataBar" priority="201">
      <dataBar>
        <cfvo type="min"/>
        <cfvo type="max"/>
        <color rgb="FF63C384"/>
      </dataBar>
      <extLst>
        <ext xmlns:x14="http://schemas.microsoft.com/office/spreadsheetml/2009/9/main" uri="{B025F937-C7B1-47D3-B67F-A62EFF666E3E}">
          <x14:id>{FEA7918F-8AF9-4054-BDB6-C0185316C679}</x14:id>
        </ext>
      </extLst>
    </cfRule>
  </conditionalFormatting>
  <conditionalFormatting sqref="BP40:BP42">
    <cfRule type="dataBar" priority="219">
      <dataBar>
        <cfvo type="min"/>
        <cfvo type="max"/>
        <color rgb="FF63C384"/>
      </dataBar>
      <extLst>
        <ext xmlns:x14="http://schemas.microsoft.com/office/spreadsheetml/2009/9/main" uri="{B025F937-C7B1-47D3-B67F-A62EFF666E3E}">
          <x14:id>{97D269B1-6CB5-4A93-A70D-DDE13392DAE4}</x14:id>
        </ext>
      </extLst>
    </cfRule>
  </conditionalFormatting>
  <conditionalFormatting sqref="BP46:BP48">
    <cfRule type="dataBar" priority="103">
      <dataBar>
        <cfvo type="min"/>
        <cfvo type="max"/>
        <color rgb="FF63C384"/>
      </dataBar>
      <extLst>
        <ext xmlns:x14="http://schemas.microsoft.com/office/spreadsheetml/2009/9/main" uri="{B025F937-C7B1-47D3-B67F-A62EFF666E3E}">
          <x14:id>{91F82AF6-94EA-4982-A2BA-547CCA37F033}</x14:id>
        </ext>
      </extLst>
    </cfRule>
    <cfRule type="dataBar" priority="200">
      <dataBar>
        <cfvo type="min"/>
        <cfvo type="max"/>
        <color rgb="FF63C384"/>
      </dataBar>
      <extLst>
        <ext xmlns:x14="http://schemas.microsoft.com/office/spreadsheetml/2009/9/main" uri="{B025F937-C7B1-47D3-B67F-A62EFF666E3E}">
          <x14:id>{26916468-E92A-4084-8A94-9A07825212C5}</x14:id>
        </ext>
      </extLst>
    </cfRule>
    <cfRule type="dataBar" priority="206">
      <dataBar>
        <cfvo type="min"/>
        <cfvo type="max"/>
        <color rgb="FF63C384"/>
      </dataBar>
      <extLst>
        <ext xmlns:x14="http://schemas.microsoft.com/office/spreadsheetml/2009/9/main" uri="{B025F937-C7B1-47D3-B67F-A62EFF666E3E}">
          <x14:id>{B2E8BCAC-C0BC-413B-9DC1-CA781DD3BB33}</x14:id>
        </ext>
      </extLst>
    </cfRule>
  </conditionalFormatting>
  <conditionalFormatting sqref="BP47:BP48">
    <cfRule type="dataBar" priority="218">
      <dataBar>
        <cfvo type="min"/>
        <cfvo type="max"/>
        <color rgb="FF63C384"/>
      </dataBar>
      <extLst>
        <ext xmlns:x14="http://schemas.microsoft.com/office/spreadsheetml/2009/9/main" uri="{B025F937-C7B1-47D3-B67F-A62EFF666E3E}">
          <x14:id>{7EDC08FE-BB08-46D2-B89D-A88E56894DC2}</x14:id>
        </ext>
      </extLst>
    </cfRule>
  </conditionalFormatting>
  <conditionalFormatting sqref="BW4:BW14">
    <cfRule type="dataBar" priority="94">
      <dataBar>
        <cfvo type="min"/>
        <cfvo type="max"/>
        <color rgb="FF63C384"/>
      </dataBar>
      <extLst>
        <ext xmlns:x14="http://schemas.microsoft.com/office/spreadsheetml/2009/9/main" uri="{B025F937-C7B1-47D3-B67F-A62EFF666E3E}">
          <x14:id>{A7F72970-61F5-4545-8C19-8A933466BD4B}</x14:id>
        </ext>
      </extLst>
    </cfRule>
    <cfRule type="dataBar" priority="88">
      <dataBar>
        <cfvo type="min"/>
        <cfvo type="max"/>
        <color rgb="FF63C384"/>
      </dataBar>
      <extLst>
        <ext xmlns:x14="http://schemas.microsoft.com/office/spreadsheetml/2009/9/main" uri="{B025F937-C7B1-47D3-B67F-A62EFF666E3E}">
          <x14:id>{111CC895-0A90-4FAF-82D8-102EBCDC3B07}</x14:id>
        </ext>
      </extLst>
    </cfRule>
    <cfRule type="dataBar" priority="82">
      <dataBar>
        <cfvo type="min"/>
        <cfvo type="max"/>
        <color rgb="FF63C384"/>
      </dataBar>
      <extLst>
        <ext xmlns:x14="http://schemas.microsoft.com/office/spreadsheetml/2009/9/main" uri="{B025F937-C7B1-47D3-B67F-A62EFF666E3E}">
          <x14:id>{9CE04B10-62F8-460E-801C-8572940A985B}</x14:id>
        </ext>
      </extLst>
    </cfRule>
  </conditionalFormatting>
  <conditionalFormatting sqref="BW5:BW14">
    <cfRule type="dataBar" priority="100">
      <dataBar>
        <cfvo type="min"/>
        <cfvo type="max"/>
        <color rgb="FF63C384"/>
      </dataBar>
      <extLst>
        <ext xmlns:x14="http://schemas.microsoft.com/office/spreadsheetml/2009/9/main" uri="{B025F937-C7B1-47D3-B67F-A62EFF666E3E}">
          <x14:id>{F9F1D4E3-44D3-4786-8C7D-1324D2EABECB}</x14:id>
        </ext>
      </extLst>
    </cfRule>
  </conditionalFormatting>
  <conditionalFormatting sqref="BW18:BW23">
    <cfRule type="dataBar" priority="93">
      <dataBar>
        <cfvo type="min"/>
        <cfvo type="max"/>
        <color rgb="FF63C384"/>
      </dataBar>
      <extLst>
        <ext xmlns:x14="http://schemas.microsoft.com/office/spreadsheetml/2009/9/main" uri="{B025F937-C7B1-47D3-B67F-A62EFF666E3E}">
          <x14:id>{D2A4B7F1-698D-4617-833F-4C4D4D132219}</x14:id>
        </ext>
      </extLst>
    </cfRule>
    <cfRule type="dataBar" priority="87">
      <dataBar>
        <cfvo type="min"/>
        <cfvo type="max"/>
        <color rgb="FF63C384"/>
      </dataBar>
      <extLst>
        <ext xmlns:x14="http://schemas.microsoft.com/office/spreadsheetml/2009/9/main" uri="{B025F937-C7B1-47D3-B67F-A62EFF666E3E}">
          <x14:id>{5E2EBAE8-3E3B-4382-844B-FB2D2B3BCE59}</x14:id>
        </ext>
      </extLst>
    </cfRule>
    <cfRule type="dataBar" priority="81">
      <dataBar>
        <cfvo type="min"/>
        <cfvo type="max"/>
        <color rgb="FF63C384"/>
      </dataBar>
      <extLst>
        <ext xmlns:x14="http://schemas.microsoft.com/office/spreadsheetml/2009/9/main" uri="{B025F937-C7B1-47D3-B67F-A62EFF666E3E}">
          <x14:id>{15BC03AC-AA60-407E-BA59-6D68CB806297}</x14:id>
        </ext>
      </extLst>
    </cfRule>
  </conditionalFormatting>
  <conditionalFormatting sqref="BW19:BW23">
    <cfRule type="dataBar" priority="99">
      <dataBar>
        <cfvo type="min"/>
        <cfvo type="max"/>
        <color rgb="FF63C384"/>
      </dataBar>
      <extLst>
        <ext xmlns:x14="http://schemas.microsoft.com/office/spreadsheetml/2009/9/main" uri="{B025F937-C7B1-47D3-B67F-A62EFF666E3E}">
          <x14:id>{022779B4-2450-48F5-AF51-696C229E861B}</x14:id>
        </ext>
      </extLst>
    </cfRule>
  </conditionalFormatting>
  <conditionalFormatting sqref="BW27:BW30">
    <cfRule type="dataBar" priority="92">
      <dataBar>
        <cfvo type="min"/>
        <cfvo type="max"/>
        <color rgb="FF63C384"/>
      </dataBar>
      <extLst>
        <ext xmlns:x14="http://schemas.microsoft.com/office/spreadsheetml/2009/9/main" uri="{B025F937-C7B1-47D3-B67F-A62EFF666E3E}">
          <x14:id>{90C61955-AE5A-4D73-8490-41EDCB9E7BED}</x14:id>
        </ext>
      </extLst>
    </cfRule>
    <cfRule type="dataBar" priority="86">
      <dataBar>
        <cfvo type="min"/>
        <cfvo type="max"/>
        <color rgb="FF63C384"/>
      </dataBar>
      <extLst>
        <ext xmlns:x14="http://schemas.microsoft.com/office/spreadsheetml/2009/9/main" uri="{B025F937-C7B1-47D3-B67F-A62EFF666E3E}">
          <x14:id>{376033CD-3C39-4664-B847-619DD12A51A4}</x14:id>
        </ext>
      </extLst>
    </cfRule>
  </conditionalFormatting>
  <conditionalFormatting sqref="BW27:BW31">
    <cfRule type="dataBar" priority="80">
      <dataBar>
        <cfvo type="min"/>
        <cfvo type="max"/>
        <color rgb="FF63C384"/>
      </dataBar>
      <extLst>
        <ext xmlns:x14="http://schemas.microsoft.com/office/spreadsheetml/2009/9/main" uri="{B025F937-C7B1-47D3-B67F-A62EFF666E3E}">
          <x14:id>{2F3EF280-1E6F-401E-A652-B8CA1A5F0E85}</x14:id>
        </ext>
      </extLst>
    </cfRule>
  </conditionalFormatting>
  <conditionalFormatting sqref="BW28:BW31">
    <cfRule type="dataBar" priority="98">
      <dataBar>
        <cfvo type="min"/>
        <cfvo type="max"/>
        <color rgb="FF63C384"/>
      </dataBar>
      <extLst>
        <ext xmlns:x14="http://schemas.microsoft.com/office/spreadsheetml/2009/9/main" uri="{B025F937-C7B1-47D3-B67F-A62EFF666E3E}">
          <x14:id>{D084E7A0-09DB-4035-8C51-9DA469D113AC}</x14:id>
        </ext>
      </extLst>
    </cfRule>
  </conditionalFormatting>
  <conditionalFormatting sqref="BW34:BW35">
    <cfRule type="dataBar" priority="76">
      <dataBar>
        <cfvo type="min"/>
        <cfvo type="max"/>
        <color rgb="FF63C384"/>
      </dataBar>
      <extLst>
        <ext xmlns:x14="http://schemas.microsoft.com/office/spreadsheetml/2009/9/main" uri="{B025F937-C7B1-47D3-B67F-A62EFF666E3E}">
          <x14:id>{C5F2B69C-DB58-4B15-A8E8-C364EB6AEA95}</x14:id>
        </ext>
      </extLst>
    </cfRule>
    <cfRule type="dataBar" priority="91">
      <dataBar>
        <cfvo type="min"/>
        <cfvo type="max"/>
        <color rgb="FF63C384"/>
      </dataBar>
      <extLst>
        <ext xmlns:x14="http://schemas.microsoft.com/office/spreadsheetml/2009/9/main" uri="{B025F937-C7B1-47D3-B67F-A62EFF666E3E}">
          <x14:id>{224D7F30-4A69-496B-869C-92355D0B5CF7}</x14:id>
        </ext>
      </extLst>
    </cfRule>
    <cfRule type="dataBar" priority="77">
      <dataBar>
        <cfvo type="min"/>
        <cfvo type="max"/>
        <color rgb="FF63C384"/>
      </dataBar>
      <extLst>
        <ext xmlns:x14="http://schemas.microsoft.com/office/spreadsheetml/2009/9/main" uri="{B025F937-C7B1-47D3-B67F-A62EFF666E3E}">
          <x14:id>{516E774A-AB31-4504-A37A-4E812A4B3E05}</x14:id>
        </ext>
      </extLst>
    </cfRule>
    <cfRule type="dataBar" priority="85">
      <dataBar>
        <cfvo type="min"/>
        <cfvo type="max"/>
        <color rgb="FF63C384"/>
      </dataBar>
      <extLst>
        <ext xmlns:x14="http://schemas.microsoft.com/office/spreadsheetml/2009/9/main" uri="{B025F937-C7B1-47D3-B67F-A62EFF666E3E}">
          <x14:id>{9AC46EF4-B752-4D19-9C9A-B169BF6FC5A6}</x14:id>
        </ext>
      </extLst>
    </cfRule>
  </conditionalFormatting>
  <conditionalFormatting sqref="BW35">
    <cfRule type="dataBar" priority="97">
      <dataBar>
        <cfvo type="min"/>
        <cfvo type="max"/>
        <color rgb="FF63C384"/>
      </dataBar>
      <extLst>
        <ext xmlns:x14="http://schemas.microsoft.com/office/spreadsheetml/2009/9/main" uri="{B025F937-C7B1-47D3-B67F-A62EFF666E3E}">
          <x14:id>{CFD1670E-7BBF-476D-A87B-40BA03DF8514}</x14:id>
        </ext>
      </extLst>
    </cfRule>
  </conditionalFormatting>
  <conditionalFormatting sqref="BW39:BW42">
    <cfRule type="dataBar" priority="90">
      <dataBar>
        <cfvo type="min"/>
        <cfvo type="max"/>
        <color rgb="FF63C384"/>
      </dataBar>
      <extLst>
        <ext xmlns:x14="http://schemas.microsoft.com/office/spreadsheetml/2009/9/main" uri="{B025F937-C7B1-47D3-B67F-A62EFF666E3E}">
          <x14:id>{F0A32483-9CA0-46AA-BB16-2D46F8E8C83B}</x14:id>
        </ext>
      </extLst>
    </cfRule>
    <cfRule type="dataBar" priority="84">
      <dataBar>
        <cfvo type="min"/>
        <cfvo type="max"/>
        <color rgb="FF63C384"/>
      </dataBar>
      <extLst>
        <ext xmlns:x14="http://schemas.microsoft.com/office/spreadsheetml/2009/9/main" uri="{B025F937-C7B1-47D3-B67F-A62EFF666E3E}">
          <x14:id>{0881C71E-310D-4AC0-BD79-5369A297BF4D}</x14:id>
        </ext>
      </extLst>
    </cfRule>
    <cfRule type="dataBar" priority="79">
      <dataBar>
        <cfvo type="min"/>
        <cfvo type="max"/>
        <color rgb="FF63C384"/>
      </dataBar>
      <extLst>
        <ext xmlns:x14="http://schemas.microsoft.com/office/spreadsheetml/2009/9/main" uri="{B025F937-C7B1-47D3-B67F-A62EFF666E3E}">
          <x14:id>{9F73486C-39CC-41B6-81AB-78A31CA02B08}</x14:id>
        </ext>
      </extLst>
    </cfRule>
  </conditionalFormatting>
  <conditionalFormatting sqref="BW40:BW42">
    <cfRule type="dataBar" priority="96">
      <dataBar>
        <cfvo type="min"/>
        <cfvo type="max"/>
        <color rgb="FF63C384"/>
      </dataBar>
      <extLst>
        <ext xmlns:x14="http://schemas.microsoft.com/office/spreadsheetml/2009/9/main" uri="{B025F937-C7B1-47D3-B67F-A62EFF666E3E}">
          <x14:id>{C691E4FA-1086-417A-AE55-8053D7B5FADB}</x14:id>
        </ext>
      </extLst>
    </cfRule>
  </conditionalFormatting>
  <conditionalFormatting sqref="BW46:BW48">
    <cfRule type="dataBar" priority="89">
      <dataBar>
        <cfvo type="min"/>
        <cfvo type="max"/>
        <color rgb="FF63C384"/>
      </dataBar>
      <extLst>
        <ext xmlns:x14="http://schemas.microsoft.com/office/spreadsheetml/2009/9/main" uri="{B025F937-C7B1-47D3-B67F-A62EFF666E3E}">
          <x14:id>{F812B538-D4FA-4045-A8FF-8680046A3C73}</x14:id>
        </ext>
      </extLst>
    </cfRule>
    <cfRule type="dataBar" priority="78">
      <dataBar>
        <cfvo type="min"/>
        <cfvo type="max"/>
        <color rgb="FF63C384"/>
      </dataBar>
      <extLst>
        <ext xmlns:x14="http://schemas.microsoft.com/office/spreadsheetml/2009/9/main" uri="{B025F937-C7B1-47D3-B67F-A62EFF666E3E}">
          <x14:id>{8255CDDB-31D0-4F51-BCB3-6092E75F865C}</x14:id>
        </ext>
      </extLst>
    </cfRule>
    <cfRule type="dataBar" priority="83">
      <dataBar>
        <cfvo type="min"/>
        <cfvo type="max"/>
        <color rgb="FF63C384"/>
      </dataBar>
      <extLst>
        <ext xmlns:x14="http://schemas.microsoft.com/office/spreadsheetml/2009/9/main" uri="{B025F937-C7B1-47D3-B67F-A62EFF666E3E}">
          <x14:id>{618BB114-21B5-4DB4-A568-665853F617D1}</x14:id>
        </ext>
      </extLst>
    </cfRule>
  </conditionalFormatting>
  <conditionalFormatting sqref="BW47:BW48">
    <cfRule type="dataBar" priority="95">
      <dataBar>
        <cfvo type="min"/>
        <cfvo type="max"/>
        <color rgb="FF63C384"/>
      </dataBar>
      <extLst>
        <ext xmlns:x14="http://schemas.microsoft.com/office/spreadsheetml/2009/9/main" uri="{B025F937-C7B1-47D3-B67F-A62EFF666E3E}">
          <x14:id>{19F4565C-75DB-46D7-8594-87FB1C6E4528}</x14:id>
        </ext>
      </extLst>
    </cfRule>
  </conditionalFormatting>
  <conditionalFormatting sqref="CE4:CE14">
    <cfRule type="dataBar" priority="57">
      <dataBar>
        <cfvo type="min"/>
        <cfvo type="max"/>
        <color rgb="FF63C384"/>
      </dataBar>
      <extLst>
        <ext xmlns:x14="http://schemas.microsoft.com/office/spreadsheetml/2009/9/main" uri="{B025F937-C7B1-47D3-B67F-A62EFF666E3E}">
          <x14:id>{46848AD8-A3CE-43AB-B022-44970A6690D9}</x14:id>
        </ext>
      </extLst>
    </cfRule>
    <cfRule type="dataBar" priority="69">
      <dataBar>
        <cfvo type="min"/>
        <cfvo type="max"/>
        <color rgb="FF63C384"/>
      </dataBar>
      <extLst>
        <ext xmlns:x14="http://schemas.microsoft.com/office/spreadsheetml/2009/9/main" uri="{B025F937-C7B1-47D3-B67F-A62EFF666E3E}">
          <x14:id>{9EFD9C1F-4E1C-41B5-A8EF-100D9079C00A}</x14:id>
        </ext>
      </extLst>
    </cfRule>
    <cfRule type="dataBar" priority="63">
      <dataBar>
        <cfvo type="min"/>
        <cfvo type="max"/>
        <color rgb="FF63C384"/>
      </dataBar>
      <extLst>
        <ext xmlns:x14="http://schemas.microsoft.com/office/spreadsheetml/2009/9/main" uri="{B025F937-C7B1-47D3-B67F-A62EFF666E3E}">
          <x14:id>{8EEBA649-B81F-4D7A-9FCF-BBC667EED1D2}</x14:id>
        </ext>
      </extLst>
    </cfRule>
  </conditionalFormatting>
  <conditionalFormatting sqref="CE5:CE14">
    <cfRule type="dataBar" priority="75">
      <dataBar>
        <cfvo type="min"/>
        <cfvo type="max"/>
        <color rgb="FF63C384"/>
      </dataBar>
      <extLst>
        <ext xmlns:x14="http://schemas.microsoft.com/office/spreadsheetml/2009/9/main" uri="{B025F937-C7B1-47D3-B67F-A62EFF666E3E}">
          <x14:id>{BACD2E3A-3ECB-44F0-8CAB-E09D9A1FB3DB}</x14:id>
        </ext>
      </extLst>
    </cfRule>
  </conditionalFormatting>
  <conditionalFormatting sqref="CE18:CE23">
    <cfRule type="dataBar" priority="68">
      <dataBar>
        <cfvo type="min"/>
        <cfvo type="max"/>
        <color rgb="FF63C384"/>
      </dataBar>
      <extLst>
        <ext xmlns:x14="http://schemas.microsoft.com/office/spreadsheetml/2009/9/main" uri="{B025F937-C7B1-47D3-B67F-A62EFF666E3E}">
          <x14:id>{F724807A-921F-4BBB-BDD6-CF97F63FF563}</x14:id>
        </ext>
      </extLst>
    </cfRule>
    <cfRule type="dataBar" priority="62">
      <dataBar>
        <cfvo type="min"/>
        <cfvo type="max"/>
        <color rgb="FF63C384"/>
      </dataBar>
      <extLst>
        <ext xmlns:x14="http://schemas.microsoft.com/office/spreadsheetml/2009/9/main" uri="{B025F937-C7B1-47D3-B67F-A62EFF666E3E}">
          <x14:id>{BD8A61F2-9551-44BE-BAB7-56CD202BE242}</x14:id>
        </ext>
      </extLst>
    </cfRule>
    <cfRule type="dataBar" priority="56">
      <dataBar>
        <cfvo type="min"/>
        <cfvo type="max"/>
        <color rgb="FF63C384"/>
      </dataBar>
      <extLst>
        <ext xmlns:x14="http://schemas.microsoft.com/office/spreadsheetml/2009/9/main" uri="{B025F937-C7B1-47D3-B67F-A62EFF666E3E}">
          <x14:id>{C734F00A-3D4F-4E88-962E-D74549D039F6}</x14:id>
        </ext>
      </extLst>
    </cfRule>
  </conditionalFormatting>
  <conditionalFormatting sqref="CE19:CE23">
    <cfRule type="dataBar" priority="74">
      <dataBar>
        <cfvo type="min"/>
        <cfvo type="max"/>
        <color rgb="FF63C384"/>
      </dataBar>
      <extLst>
        <ext xmlns:x14="http://schemas.microsoft.com/office/spreadsheetml/2009/9/main" uri="{B025F937-C7B1-47D3-B67F-A62EFF666E3E}">
          <x14:id>{AB563CD3-BF6B-45F3-81BB-F844E6C47CDC}</x14:id>
        </ext>
      </extLst>
    </cfRule>
  </conditionalFormatting>
  <conditionalFormatting sqref="CE27:CE30">
    <cfRule type="dataBar" priority="67">
      <dataBar>
        <cfvo type="min"/>
        <cfvo type="max"/>
        <color rgb="FF63C384"/>
      </dataBar>
      <extLst>
        <ext xmlns:x14="http://schemas.microsoft.com/office/spreadsheetml/2009/9/main" uri="{B025F937-C7B1-47D3-B67F-A62EFF666E3E}">
          <x14:id>{0226B94A-9BC6-463E-8C92-2AEDA387C4A1}</x14:id>
        </ext>
      </extLst>
    </cfRule>
    <cfRule type="dataBar" priority="61">
      <dataBar>
        <cfvo type="min"/>
        <cfvo type="max"/>
        <color rgb="FF63C384"/>
      </dataBar>
      <extLst>
        <ext xmlns:x14="http://schemas.microsoft.com/office/spreadsheetml/2009/9/main" uri="{B025F937-C7B1-47D3-B67F-A62EFF666E3E}">
          <x14:id>{42C0E1A1-2649-42DD-9C01-21ED48EDCE7B}</x14:id>
        </ext>
      </extLst>
    </cfRule>
  </conditionalFormatting>
  <conditionalFormatting sqref="CE27:CE31">
    <cfRule type="dataBar" priority="55">
      <dataBar>
        <cfvo type="min"/>
        <cfvo type="max"/>
        <color rgb="FF63C384"/>
      </dataBar>
      <extLst>
        <ext xmlns:x14="http://schemas.microsoft.com/office/spreadsheetml/2009/9/main" uri="{B025F937-C7B1-47D3-B67F-A62EFF666E3E}">
          <x14:id>{70A4E2FC-35DA-4CE0-BB87-171FA8C230FE}</x14:id>
        </ext>
      </extLst>
    </cfRule>
  </conditionalFormatting>
  <conditionalFormatting sqref="CE28:CE31">
    <cfRule type="dataBar" priority="73">
      <dataBar>
        <cfvo type="min"/>
        <cfvo type="max"/>
        <color rgb="FF63C384"/>
      </dataBar>
      <extLst>
        <ext xmlns:x14="http://schemas.microsoft.com/office/spreadsheetml/2009/9/main" uri="{B025F937-C7B1-47D3-B67F-A62EFF666E3E}">
          <x14:id>{097D8AD3-72C4-40BC-8AFE-E2BE6ED2CEA4}</x14:id>
        </ext>
      </extLst>
    </cfRule>
  </conditionalFormatting>
  <conditionalFormatting sqref="CE34:CE35">
    <cfRule type="dataBar" priority="66">
      <dataBar>
        <cfvo type="min"/>
        <cfvo type="max"/>
        <color rgb="FF63C384"/>
      </dataBar>
      <extLst>
        <ext xmlns:x14="http://schemas.microsoft.com/office/spreadsheetml/2009/9/main" uri="{B025F937-C7B1-47D3-B67F-A62EFF666E3E}">
          <x14:id>{F806B275-5DEF-4321-B02B-2B758EDE535F}</x14:id>
        </ext>
      </extLst>
    </cfRule>
    <cfRule type="dataBar" priority="60">
      <dataBar>
        <cfvo type="min"/>
        <cfvo type="max"/>
        <color rgb="FF63C384"/>
      </dataBar>
      <extLst>
        <ext xmlns:x14="http://schemas.microsoft.com/office/spreadsheetml/2009/9/main" uri="{B025F937-C7B1-47D3-B67F-A62EFF666E3E}">
          <x14:id>{33094381-BB9F-4F2B-902D-9DAF7BCF036C}</x14:id>
        </ext>
      </extLst>
    </cfRule>
    <cfRule type="dataBar" priority="52">
      <dataBar>
        <cfvo type="min"/>
        <cfvo type="max"/>
        <color rgb="FF63C384"/>
      </dataBar>
      <extLst>
        <ext xmlns:x14="http://schemas.microsoft.com/office/spreadsheetml/2009/9/main" uri="{B025F937-C7B1-47D3-B67F-A62EFF666E3E}">
          <x14:id>{881C8E7D-45CB-48E1-9E64-18DEE4DD06DA}</x14:id>
        </ext>
      </extLst>
    </cfRule>
    <cfRule type="dataBar" priority="51">
      <dataBar>
        <cfvo type="min"/>
        <cfvo type="max"/>
        <color rgb="FF63C384"/>
      </dataBar>
      <extLst>
        <ext xmlns:x14="http://schemas.microsoft.com/office/spreadsheetml/2009/9/main" uri="{B025F937-C7B1-47D3-B67F-A62EFF666E3E}">
          <x14:id>{906F6A4C-15E0-43F5-A3D3-00511A3B6EF8}</x14:id>
        </ext>
      </extLst>
    </cfRule>
  </conditionalFormatting>
  <conditionalFormatting sqref="CE35">
    <cfRule type="dataBar" priority="72">
      <dataBar>
        <cfvo type="min"/>
        <cfvo type="max"/>
        <color rgb="FF63C384"/>
      </dataBar>
      <extLst>
        <ext xmlns:x14="http://schemas.microsoft.com/office/spreadsheetml/2009/9/main" uri="{B025F937-C7B1-47D3-B67F-A62EFF666E3E}">
          <x14:id>{A7FD815D-3250-4F94-BF5D-4AD94841D955}</x14:id>
        </ext>
      </extLst>
    </cfRule>
  </conditionalFormatting>
  <conditionalFormatting sqref="CE39:CE42">
    <cfRule type="dataBar" priority="65">
      <dataBar>
        <cfvo type="min"/>
        <cfvo type="max"/>
        <color rgb="FF63C384"/>
      </dataBar>
      <extLst>
        <ext xmlns:x14="http://schemas.microsoft.com/office/spreadsheetml/2009/9/main" uri="{B025F937-C7B1-47D3-B67F-A62EFF666E3E}">
          <x14:id>{2A4C7759-F6C1-4147-871B-B05218DE3492}</x14:id>
        </ext>
      </extLst>
    </cfRule>
    <cfRule type="dataBar" priority="59">
      <dataBar>
        <cfvo type="min"/>
        <cfvo type="max"/>
        <color rgb="FF63C384"/>
      </dataBar>
      <extLst>
        <ext xmlns:x14="http://schemas.microsoft.com/office/spreadsheetml/2009/9/main" uri="{B025F937-C7B1-47D3-B67F-A62EFF666E3E}">
          <x14:id>{0AA3DEC8-166E-4907-A748-48C368931754}</x14:id>
        </ext>
      </extLst>
    </cfRule>
    <cfRule type="dataBar" priority="54">
      <dataBar>
        <cfvo type="min"/>
        <cfvo type="max"/>
        <color rgb="FF63C384"/>
      </dataBar>
      <extLst>
        <ext xmlns:x14="http://schemas.microsoft.com/office/spreadsheetml/2009/9/main" uri="{B025F937-C7B1-47D3-B67F-A62EFF666E3E}">
          <x14:id>{CB3727A5-24CA-4145-B346-AD28A18B8C26}</x14:id>
        </ext>
      </extLst>
    </cfRule>
  </conditionalFormatting>
  <conditionalFormatting sqref="CE40:CE42">
    <cfRule type="dataBar" priority="71">
      <dataBar>
        <cfvo type="min"/>
        <cfvo type="max"/>
        <color rgb="FF63C384"/>
      </dataBar>
      <extLst>
        <ext xmlns:x14="http://schemas.microsoft.com/office/spreadsheetml/2009/9/main" uri="{B025F937-C7B1-47D3-B67F-A62EFF666E3E}">
          <x14:id>{3B1B91FC-D4DF-46B1-B2A7-93836EE9A6CE}</x14:id>
        </ext>
      </extLst>
    </cfRule>
  </conditionalFormatting>
  <conditionalFormatting sqref="CE46:CE48">
    <cfRule type="dataBar" priority="58">
      <dataBar>
        <cfvo type="min"/>
        <cfvo type="max"/>
        <color rgb="FF63C384"/>
      </dataBar>
      <extLst>
        <ext xmlns:x14="http://schemas.microsoft.com/office/spreadsheetml/2009/9/main" uri="{B025F937-C7B1-47D3-B67F-A62EFF666E3E}">
          <x14:id>{69F28ADC-CFDD-4FB7-B329-32A405CCF5E2}</x14:id>
        </ext>
      </extLst>
    </cfRule>
    <cfRule type="dataBar" priority="64">
      <dataBar>
        <cfvo type="min"/>
        <cfvo type="max"/>
        <color rgb="FF63C384"/>
      </dataBar>
      <extLst>
        <ext xmlns:x14="http://schemas.microsoft.com/office/spreadsheetml/2009/9/main" uri="{B025F937-C7B1-47D3-B67F-A62EFF666E3E}">
          <x14:id>{907D47A2-0DBA-412F-A77E-31912E484727}</x14:id>
        </ext>
      </extLst>
    </cfRule>
    <cfRule type="dataBar" priority="53">
      <dataBar>
        <cfvo type="min"/>
        <cfvo type="max"/>
        <color rgb="FF63C384"/>
      </dataBar>
      <extLst>
        <ext xmlns:x14="http://schemas.microsoft.com/office/spreadsheetml/2009/9/main" uri="{B025F937-C7B1-47D3-B67F-A62EFF666E3E}">
          <x14:id>{52FEB5A2-74DB-47DF-85D8-5B26CF082F00}</x14:id>
        </ext>
      </extLst>
    </cfRule>
  </conditionalFormatting>
  <conditionalFormatting sqref="CE47:CE48">
    <cfRule type="dataBar" priority="70">
      <dataBar>
        <cfvo type="min"/>
        <cfvo type="max"/>
        <color rgb="FF63C384"/>
      </dataBar>
      <extLst>
        <ext xmlns:x14="http://schemas.microsoft.com/office/spreadsheetml/2009/9/main" uri="{B025F937-C7B1-47D3-B67F-A62EFF666E3E}">
          <x14:id>{BEDE2F7D-7BBB-4095-B64E-44927CB11E83}</x14:id>
        </ext>
      </extLst>
    </cfRule>
  </conditionalFormatting>
  <conditionalFormatting sqref="CM4:CM14">
    <cfRule type="dataBar" priority="44">
      <dataBar>
        <cfvo type="min"/>
        <cfvo type="max"/>
        <color rgb="FF63C384"/>
      </dataBar>
      <extLst>
        <ext xmlns:x14="http://schemas.microsoft.com/office/spreadsheetml/2009/9/main" uri="{B025F937-C7B1-47D3-B67F-A62EFF666E3E}">
          <x14:id>{C38C3C96-099F-479B-B4C9-6501F6858839}</x14:id>
        </ext>
      </extLst>
    </cfRule>
    <cfRule type="dataBar" priority="32">
      <dataBar>
        <cfvo type="min"/>
        <cfvo type="max"/>
        <color rgb="FF63C384"/>
      </dataBar>
      <extLst>
        <ext xmlns:x14="http://schemas.microsoft.com/office/spreadsheetml/2009/9/main" uri="{B025F937-C7B1-47D3-B67F-A62EFF666E3E}">
          <x14:id>{0145F6FE-69E3-4C33-84DE-E003329D0750}</x14:id>
        </ext>
      </extLst>
    </cfRule>
    <cfRule type="dataBar" priority="38">
      <dataBar>
        <cfvo type="min"/>
        <cfvo type="max"/>
        <color rgb="FF63C384"/>
      </dataBar>
      <extLst>
        <ext xmlns:x14="http://schemas.microsoft.com/office/spreadsheetml/2009/9/main" uri="{B025F937-C7B1-47D3-B67F-A62EFF666E3E}">
          <x14:id>{CF264E80-7A9F-4AEC-BB86-BB1D1AACDF80}</x14:id>
        </ext>
      </extLst>
    </cfRule>
  </conditionalFormatting>
  <conditionalFormatting sqref="CM5:CM14">
    <cfRule type="dataBar" priority="50">
      <dataBar>
        <cfvo type="min"/>
        <cfvo type="max"/>
        <color rgb="FF63C384"/>
      </dataBar>
      <extLst>
        <ext xmlns:x14="http://schemas.microsoft.com/office/spreadsheetml/2009/9/main" uri="{B025F937-C7B1-47D3-B67F-A62EFF666E3E}">
          <x14:id>{DB82B8C6-7ABA-434D-8947-C946CD8A295A}</x14:id>
        </ext>
      </extLst>
    </cfRule>
  </conditionalFormatting>
  <conditionalFormatting sqref="CM18:CM23">
    <cfRule type="dataBar" priority="37">
      <dataBar>
        <cfvo type="min"/>
        <cfvo type="max"/>
        <color rgb="FF63C384"/>
      </dataBar>
      <extLst>
        <ext xmlns:x14="http://schemas.microsoft.com/office/spreadsheetml/2009/9/main" uri="{B025F937-C7B1-47D3-B67F-A62EFF666E3E}">
          <x14:id>{6D33401D-69E9-4687-B2B1-CA0AC3706216}</x14:id>
        </ext>
      </extLst>
    </cfRule>
    <cfRule type="dataBar" priority="43">
      <dataBar>
        <cfvo type="min"/>
        <cfvo type="max"/>
        <color rgb="FF63C384"/>
      </dataBar>
      <extLst>
        <ext xmlns:x14="http://schemas.microsoft.com/office/spreadsheetml/2009/9/main" uri="{B025F937-C7B1-47D3-B67F-A62EFF666E3E}">
          <x14:id>{384C703B-EFD1-4AC5-B1DE-C58308DFCF51}</x14:id>
        </ext>
      </extLst>
    </cfRule>
    <cfRule type="dataBar" priority="31">
      <dataBar>
        <cfvo type="min"/>
        <cfvo type="max"/>
        <color rgb="FF63C384"/>
      </dataBar>
      <extLst>
        <ext xmlns:x14="http://schemas.microsoft.com/office/spreadsheetml/2009/9/main" uri="{B025F937-C7B1-47D3-B67F-A62EFF666E3E}">
          <x14:id>{1F439C21-E238-43EB-AD7C-9973B9BE4DBF}</x14:id>
        </ext>
      </extLst>
    </cfRule>
  </conditionalFormatting>
  <conditionalFormatting sqref="CM19:CM23">
    <cfRule type="dataBar" priority="49">
      <dataBar>
        <cfvo type="min"/>
        <cfvo type="max"/>
        <color rgb="FF63C384"/>
      </dataBar>
      <extLst>
        <ext xmlns:x14="http://schemas.microsoft.com/office/spreadsheetml/2009/9/main" uri="{B025F937-C7B1-47D3-B67F-A62EFF666E3E}">
          <x14:id>{12B677AF-CE54-4912-B6EA-5971AC9197A9}</x14:id>
        </ext>
      </extLst>
    </cfRule>
  </conditionalFormatting>
  <conditionalFormatting sqref="CM27:CM30">
    <cfRule type="dataBar" priority="42">
      <dataBar>
        <cfvo type="min"/>
        <cfvo type="max"/>
        <color rgb="FF63C384"/>
      </dataBar>
      <extLst>
        <ext xmlns:x14="http://schemas.microsoft.com/office/spreadsheetml/2009/9/main" uri="{B025F937-C7B1-47D3-B67F-A62EFF666E3E}">
          <x14:id>{E95C5D8A-FE17-42FD-9C44-BEB56630FE32}</x14:id>
        </ext>
      </extLst>
    </cfRule>
    <cfRule type="dataBar" priority="36">
      <dataBar>
        <cfvo type="min"/>
        <cfvo type="max"/>
        <color rgb="FF63C384"/>
      </dataBar>
      <extLst>
        <ext xmlns:x14="http://schemas.microsoft.com/office/spreadsheetml/2009/9/main" uri="{B025F937-C7B1-47D3-B67F-A62EFF666E3E}">
          <x14:id>{9DDF6040-4928-4EFB-BF34-DD15F9B6B619}</x14:id>
        </ext>
      </extLst>
    </cfRule>
  </conditionalFormatting>
  <conditionalFormatting sqref="CM27:CM31">
    <cfRule type="dataBar" priority="30">
      <dataBar>
        <cfvo type="min"/>
        <cfvo type="max"/>
        <color rgb="FF63C384"/>
      </dataBar>
      <extLst>
        <ext xmlns:x14="http://schemas.microsoft.com/office/spreadsheetml/2009/9/main" uri="{B025F937-C7B1-47D3-B67F-A62EFF666E3E}">
          <x14:id>{0259FCCD-1E57-4AEA-B549-F0638F14440F}</x14:id>
        </ext>
      </extLst>
    </cfRule>
  </conditionalFormatting>
  <conditionalFormatting sqref="CM28:CM31">
    <cfRule type="dataBar" priority="48">
      <dataBar>
        <cfvo type="min"/>
        <cfvo type="max"/>
        <color rgb="FF63C384"/>
      </dataBar>
      <extLst>
        <ext xmlns:x14="http://schemas.microsoft.com/office/spreadsheetml/2009/9/main" uri="{B025F937-C7B1-47D3-B67F-A62EFF666E3E}">
          <x14:id>{9B199F83-AD48-492E-A0F9-27A00B5AEFEB}</x14:id>
        </ext>
      </extLst>
    </cfRule>
  </conditionalFormatting>
  <conditionalFormatting sqref="CM34:CM35">
    <cfRule type="dataBar" priority="41">
      <dataBar>
        <cfvo type="min"/>
        <cfvo type="max"/>
        <color rgb="FF63C384"/>
      </dataBar>
      <extLst>
        <ext xmlns:x14="http://schemas.microsoft.com/office/spreadsheetml/2009/9/main" uri="{B025F937-C7B1-47D3-B67F-A62EFF666E3E}">
          <x14:id>{E2895138-3310-492A-A971-006AD1BB292B}</x14:id>
        </ext>
      </extLst>
    </cfRule>
    <cfRule type="dataBar" priority="35">
      <dataBar>
        <cfvo type="min"/>
        <cfvo type="max"/>
        <color rgb="FF63C384"/>
      </dataBar>
      <extLst>
        <ext xmlns:x14="http://schemas.microsoft.com/office/spreadsheetml/2009/9/main" uri="{B025F937-C7B1-47D3-B67F-A62EFF666E3E}">
          <x14:id>{62D44F2A-15DE-4D1F-A80B-5C042781A21E}</x14:id>
        </ext>
      </extLst>
    </cfRule>
    <cfRule type="dataBar" priority="27">
      <dataBar>
        <cfvo type="min"/>
        <cfvo type="max"/>
        <color rgb="FF63C384"/>
      </dataBar>
      <extLst>
        <ext xmlns:x14="http://schemas.microsoft.com/office/spreadsheetml/2009/9/main" uri="{B025F937-C7B1-47D3-B67F-A62EFF666E3E}">
          <x14:id>{6786A805-F5AE-4AC5-990B-5B5EF1F08955}</x14:id>
        </ext>
      </extLst>
    </cfRule>
    <cfRule type="dataBar" priority="26">
      <dataBar>
        <cfvo type="min"/>
        <cfvo type="max"/>
        <color rgb="FF63C384"/>
      </dataBar>
      <extLst>
        <ext xmlns:x14="http://schemas.microsoft.com/office/spreadsheetml/2009/9/main" uri="{B025F937-C7B1-47D3-B67F-A62EFF666E3E}">
          <x14:id>{12CE93C2-5DE9-4312-8343-CF8837D46B25}</x14:id>
        </ext>
      </extLst>
    </cfRule>
  </conditionalFormatting>
  <conditionalFormatting sqref="CM35">
    <cfRule type="dataBar" priority="47">
      <dataBar>
        <cfvo type="min"/>
        <cfvo type="max"/>
        <color rgb="FF63C384"/>
      </dataBar>
      <extLst>
        <ext xmlns:x14="http://schemas.microsoft.com/office/spreadsheetml/2009/9/main" uri="{B025F937-C7B1-47D3-B67F-A62EFF666E3E}">
          <x14:id>{1FEEA2A4-A8B5-4100-B01A-CEBA90B7AB2F}</x14:id>
        </ext>
      </extLst>
    </cfRule>
  </conditionalFormatting>
  <conditionalFormatting sqref="CM39:CM42">
    <cfRule type="dataBar" priority="40">
      <dataBar>
        <cfvo type="min"/>
        <cfvo type="max"/>
        <color rgb="FF63C384"/>
      </dataBar>
      <extLst>
        <ext xmlns:x14="http://schemas.microsoft.com/office/spreadsheetml/2009/9/main" uri="{B025F937-C7B1-47D3-B67F-A62EFF666E3E}">
          <x14:id>{A48C93E7-E61D-43DA-95BA-062D083A5A63}</x14:id>
        </ext>
      </extLst>
    </cfRule>
    <cfRule type="dataBar" priority="34">
      <dataBar>
        <cfvo type="min"/>
        <cfvo type="max"/>
        <color rgb="FF63C384"/>
      </dataBar>
      <extLst>
        <ext xmlns:x14="http://schemas.microsoft.com/office/spreadsheetml/2009/9/main" uri="{B025F937-C7B1-47D3-B67F-A62EFF666E3E}">
          <x14:id>{C0B155DD-46BB-4184-9062-026F776DEBD5}</x14:id>
        </ext>
      </extLst>
    </cfRule>
    <cfRule type="dataBar" priority="29">
      <dataBar>
        <cfvo type="min"/>
        <cfvo type="max"/>
        <color rgb="FF63C384"/>
      </dataBar>
      <extLst>
        <ext xmlns:x14="http://schemas.microsoft.com/office/spreadsheetml/2009/9/main" uri="{B025F937-C7B1-47D3-B67F-A62EFF666E3E}">
          <x14:id>{4AE9F50F-5040-4F8C-9524-D0291690F11A}</x14:id>
        </ext>
      </extLst>
    </cfRule>
  </conditionalFormatting>
  <conditionalFormatting sqref="CM40:CM42">
    <cfRule type="dataBar" priority="46">
      <dataBar>
        <cfvo type="min"/>
        <cfvo type="max"/>
        <color rgb="FF63C384"/>
      </dataBar>
      <extLst>
        <ext xmlns:x14="http://schemas.microsoft.com/office/spreadsheetml/2009/9/main" uri="{B025F937-C7B1-47D3-B67F-A62EFF666E3E}">
          <x14:id>{7CE26638-AAEF-4836-9DA4-C6125AA0C683}</x14:id>
        </ext>
      </extLst>
    </cfRule>
  </conditionalFormatting>
  <conditionalFormatting sqref="CM46:CM48">
    <cfRule type="dataBar" priority="33">
      <dataBar>
        <cfvo type="min"/>
        <cfvo type="max"/>
        <color rgb="FF63C384"/>
      </dataBar>
      <extLst>
        <ext xmlns:x14="http://schemas.microsoft.com/office/spreadsheetml/2009/9/main" uri="{B025F937-C7B1-47D3-B67F-A62EFF666E3E}">
          <x14:id>{BDBA62C8-562B-4CE4-BB36-05E98C6DBEB6}</x14:id>
        </ext>
      </extLst>
    </cfRule>
    <cfRule type="dataBar" priority="28">
      <dataBar>
        <cfvo type="min"/>
        <cfvo type="max"/>
        <color rgb="FF63C384"/>
      </dataBar>
      <extLst>
        <ext xmlns:x14="http://schemas.microsoft.com/office/spreadsheetml/2009/9/main" uri="{B025F937-C7B1-47D3-B67F-A62EFF666E3E}">
          <x14:id>{08F199A0-C4A3-43E7-B57D-43437A28CF9F}</x14:id>
        </ext>
      </extLst>
    </cfRule>
    <cfRule type="dataBar" priority="39">
      <dataBar>
        <cfvo type="min"/>
        <cfvo type="max"/>
        <color rgb="FF63C384"/>
      </dataBar>
      <extLst>
        <ext xmlns:x14="http://schemas.microsoft.com/office/spreadsheetml/2009/9/main" uri="{B025F937-C7B1-47D3-B67F-A62EFF666E3E}">
          <x14:id>{5B97A66C-C0F5-46B7-86BC-5AB94AAB487B}</x14:id>
        </ext>
      </extLst>
    </cfRule>
  </conditionalFormatting>
  <conditionalFormatting sqref="CM47:CM48">
    <cfRule type="dataBar" priority="45">
      <dataBar>
        <cfvo type="min"/>
        <cfvo type="max"/>
        <color rgb="FF63C384"/>
      </dataBar>
      <extLst>
        <ext xmlns:x14="http://schemas.microsoft.com/office/spreadsheetml/2009/9/main" uri="{B025F937-C7B1-47D3-B67F-A62EFF666E3E}">
          <x14:id>{79E15AC6-A2EC-4462-8DC9-58728C766020}</x14:id>
        </ext>
      </extLst>
    </cfRule>
  </conditionalFormatting>
  <conditionalFormatting sqref="CU4:CU14">
    <cfRule type="dataBar" priority="19">
      <dataBar>
        <cfvo type="min"/>
        <cfvo type="max"/>
        <color rgb="FF63C384"/>
      </dataBar>
      <extLst>
        <ext xmlns:x14="http://schemas.microsoft.com/office/spreadsheetml/2009/9/main" uri="{B025F937-C7B1-47D3-B67F-A62EFF666E3E}">
          <x14:id>{765CCC00-C314-4838-8EAB-49F20A1B07D4}</x14:id>
        </ext>
      </extLst>
    </cfRule>
    <cfRule type="dataBar" priority="13">
      <dataBar>
        <cfvo type="min"/>
        <cfvo type="max"/>
        <color rgb="FF63C384"/>
      </dataBar>
      <extLst>
        <ext xmlns:x14="http://schemas.microsoft.com/office/spreadsheetml/2009/9/main" uri="{B025F937-C7B1-47D3-B67F-A62EFF666E3E}">
          <x14:id>{DA394CAE-D29B-4579-A3E5-25C3D2286246}</x14:id>
        </ext>
      </extLst>
    </cfRule>
    <cfRule type="dataBar" priority="7">
      <dataBar>
        <cfvo type="min"/>
        <cfvo type="max"/>
        <color rgb="FF63C384"/>
      </dataBar>
      <extLst>
        <ext xmlns:x14="http://schemas.microsoft.com/office/spreadsheetml/2009/9/main" uri="{B025F937-C7B1-47D3-B67F-A62EFF666E3E}">
          <x14:id>{759CAB95-86C8-4606-8A20-11B4A38AF152}</x14:id>
        </ext>
      </extLst>
    </cfRule>
  </conditionalFormatting>
  <conditionalFormatting sqref="CU5:CU14">
    <cfRule type="dataBar" priority="25">
      <dataBar>
        <cfvo type="min"/>
        <cfvo type="max"/>
        <color rgb="FF63C384"/>
      </dataBar>
      <extLst>
        <ext xmlns:x14="http://schemas.microsoft.com/office/spreadsheetml/2009/9/main" uri="{B025F937-C7B1-47D3-B67F-A62EFF666E3E}">
          <x14:id>{290CE404-96D4-49CF-BE2B-730C7F70961E}</x14:id>
        </ext>
      </extLst>
    </cfRule>
  </conditionalFormatting>
  <conditionalFormatting sqref="CU18:CU23">
    <cfRule type="dataBar" priority="18">
      <dataBar>
        <cfvo type="min"/>
        <cfvo type="max"/>
        <color rgb="FF63C384"/>
      </dataBar>
      <extLst>
        <ext xmlns:x14="http://schemas.microsoft.com/office/spreadsheetml/2009/9/main" uri="{B025F937-C7B1-47D3-B67F-A62EFF666E3E}">
          <x14:id>{41E17DE9-7BCD-4543-8DBD-07B65359311B}</x14:id>
        </ext>
      </extLst>
    </cfRule>
    <cfRule type="dataBar" priority="12">
      <dataBar>
        <cfvo type="min"/>
        <cfvo type="max"/>
        <color rgb="FF63C384"/>
      </dataBar>
      <extLst>
        <ext xmlns:x14="http://schemas.microsoft.com/office/spreadsheetml/2009/9/main" uri="{B025F937-C7B1-47D3-B67F-A62EFF666E3E}">
          <x14:id>{A63035E6-EF8F-4CC6-BBC9-4E732884D731}</x14:id>
        </ext>
      </extLst>
    </cfRule>
    <cfRule type="dataBar" priority="6">
      <dataBar>
        <cfvo type="min"/>
        <cfvo type="max"/>
        <color rgb="FF63C384"/>
      </dataBar>
      <extLst>
        <ext xmlns:x14="http://schemas.microsoft.com/office/spreadsheetml/2009/9/main" uri="{B025F937-C7B1-47D3-B67F-A62EFF666E3E}">
          <x14:id>{E57B971C-BF55-4076-88FC-A0FF7C12D039}</x14:id>
        </ext>
      </extLst>
    </cfRule>
  </conditionalFormatting>
  <conditionalFormatting sqref="CU19:CU23">
    <cfRule type="dataBar" priority="24">
      <dataBar>
        <cfvo type="min"/>
        <cfvo type="max"/>
        <color rgb="FF63C384"/>
      </dataBar>
      <extLst>
        <ext xmlns:x14="http://schemas.microsoft.com/office/spreadsheetml/2009/9/main" uri="{B025F937-C7B1-47D3-B67F-A62EFF666E3E}">
          <x14:id>{6B69C73A-1D22-405E-8743-F9C7D0F763BD}</x14:id>
        </ext>
      </extLst>
    </cfRule>
  </conditionalFormatting>
  <conditionalFormatting sqref="CU27:CU30">
    <cfRule type="dataBar" priority="11">
      <dataBar>
        <cfvo type="min"/>
        <cfvo type="max"/>
        <color rgb="FF63C384"/>
      </dataBar>
      <extLst>
        <ext xmlns:x14="http://schemas.microsoft.com/office/spreadsheetml/2009/9/main" uri="{B025F937-C7B1-47D3-B67F-A62EFF666E3E}">
          <x14:id>{3510F18C-38FE-4E5A-A46F-75D8ADA5AF99}</x14:id>
        </ext>
      </extLst>
    </cfRule>
    <cfRule type="dataBar" priority="17">
      <dataBar>
        <cfvo type="min"/>
        <cfvo type="max"/>
        <color rgb="FF63C384"/>
      </dataBar>
      <extLst>
        <ext xmlns:x14="http://schemas.microsoft.com/office/spreadsheetml/2009/9/main" uri="{B025F937-C7B1-47D3-B67F-A62EFF666E3E}">
          <x14:id>{C198189A-ED0B-4A57-A8BB-BE820FF51D26}</x14:id>
        </ext>
      </extLst>
    </cfRule>
  </conditionalFormatting>
  <conditionalFormatting sqref="CU27:CU31">
    <cfRule type="dataBar" priority="5">
      <dataBar>
        <cfvo type="min"/>
        <cfvo type="max"/>
        <color rgb="FF63C384"/>
      </dataBar>
      <extLst>
        <ext xmlns:x14="http://schemas.microsoft.com/office/spreadsheetml/2009/9/main" uri="{B025F937-C7B1-47D3-B67F-A62EFF666E3E}">
          <x14:id>{1851F1DA-E493-460E-BEB3-F0918DB6E62C}</x14:id>
        </ext>
      </extLst>
    </cfRule>
  </conditionalFormatting>
  <conditionalFormatting sqref="CU28:CU31">
    <cfRule type="dataBar" priority="23">
      <dataBar>
        <cfvo type="min"/>
        <cfvo type="max"/>
        <color rgb="FF63C384"/>
      </dataBar>
      <extLst>
        <ext xmlns:x14="http://schemas.microsoft.com/office/spreadsheetml/2009/9/main" uri="{B025F937-C7B1-47D3-B67F-A62EFF666E3E}">
          <x14:id>{32D4049E-93EF-4775-B9EE-B38C417E5DE8}</x14:id>
        </ext>
      </extLst>
    </cfRule>
  </conditionalFormatting>
  <conditionalFormatting sqref="CU34:CU35">
    <cfRule type="dataBar" priority="1">
      <dataBar>
        <cfvo type="min"/>
        <cfvo type="max"/>
        <color rgb="FF63C384"/>
      </dataBar>
      <extLst>
        <ext xmlns:x14="http://schemas.microsoft.com/office/spreadsheetml/2009/9/main" uri="{B025F937-C7B1-47D3-B67F-A62EFF666E3E}">
          <x14:id>{FA06B64C-7D01-4A2F-B988-28C6D434994A}</x14:id>
        </ext>
      </extLst>
    </cfRule>
    <cfRule type="dataBar" priority="16">
      <dataBar>
        <cfvo type="min"/>
        <cfvo type="max"/>
        <color rgb="FF63C384"/>
      </dataBar>
      <extLst>
        <ext xmlns:x14="http://schemas.microsoft.com/office/spreadsheetml/2009/9/main" uri="{B025F937-C7B1-47D3-B67F-A62EFF666E3E}">
          <x14:id>{71082DB2-D62E-4956-9FD4-71DB2A56A682}</x14:id>
        </ext>
      </extLst>
    </cfRule>
    <cfRule type="dataBar" priority="2">
      <dataBar>
        <cfvo type="min"/>
        <cfvo type="max"/>
        <color rgb="FF63C384"/>
      </dataBar>
      <extLst>
        <ext xmlns:x14="http://schemas.microsoft.com/office/spreadsheetml/2009/9/main" uri="{B025F937-C7B1-47D3-B67F-A62EFF666E3E}">
          <x14:id>{55F1130E-B2BC-4814-957F-394D16ADEA05}</x14:id>
        </ext>
      </extLst>
    </cfRule>
    <cfRule type="dataBar" priority="10">
      <dataBar>
        <cfvo type="min"/>
        <cfvo type="max"/>
        <color rgb="FF63C384"/>
      </dataBar>
      <extLst>
        <ext xmlns:x14="http://schemas.microsoft.com/office/spreadsheetml/2009/9/main" uri="{B025F937-C7B1-47D3-B67F-A62EFF666E3E}">
          <x14:id>{8DCEE3DD-AB2B-4302-AF82-AFD16BC00E31}</x14:id>
        </ext>
      </extLst>
    </cfRule>
  </conditionalFormatting>
  <conditionalFormatting sqref="CU35">
    <cfRule type="dataBar" priority="22">
      <dataBar>
        <cfvo type="min"/>
        <cfvo type="max"/>
        <color rgb="FF63C384"/>
      </dataBar>
      <extLst>
        <ext xmlns:x14="http://schemas.microsoft.com/office/spreadsheetml/2009/9/main" uri="{B025F937-C7B1-47D3-B67F-A62EFF666E3E}">
          <x14:id>{473C18FD-63F9-415D-A53B-47846EE20F71}</x14:id>
        </ext>
      </extLst>
    </cfRule>
  </conditionalFormatting>
  <conditionalFormatting sqref="CU39:CU42">
    <cfRule type="dataBar" priority="15">
      <dataBar>
        <cfvo type="min"/>
        <cfvo type="max"/>
        <color rgb="FF63C384"/>
      </dataBar>
      <extLst>
        <ext xmlns:x14="http://schemas.microsoft.com/office/spreadsheetml/2009/9/main" uri="{B025F937-C7B1-47D3-B67F-A62EFF666E3E}">
          <x14:id>{6AD28BA5-7F90-4524-B5A9-CDBB66628382}</x14:id>
        </ext>
      </extLst>
    </cfRule>
    <cfRule type="dataBar" priority="9">
      <dataBar>
        <cfvo type="min"/>
        <cfvo type="max"/>
        <color rgb="FF63C384"/>
      </dataBar>
      <extLst>
        <ext xmlns:x14="http://schemas.microsoft.com/office/spreadsheetml/2009/9/main" uri="{B025F937-C7B1-47D3-B67F-A62EFF666E3E}">
          <x14:id>{924CE324-2277-4BDA-9FBF-F2EE6B5B3B99}</x14:id>
        </ext>
      </extLst>
    </cfRule>
    <cfRule type="dataBar" priority="4">
      <dataBar>
        <cfvo type="min"/>
        <cfvo type="max"/>
        <color rgb="FF63C384"/>
      </dataBar>
      <extLst>
        <ext xmlns:x14="http://schemas.microsoft.com/office/spreadsheetml/2009/9/main" uri="{B025F937-C7B1-47D3-B67F-A62EFF666E3E}">
          <x14:id>{CC8516DD-B7EB-4A67-89F1-93F1ECBF5882}</x14:id>
        </ext>
      </extLst>
    </cfRule>
  </conditionalFormatting>
  <conditionalFormatting sqref="CU40:CU42">
    <cfRule type="dataBar" priority="21">
      <dataBar>
        <cfvo type="min"/>
        <cfvo type="max"/>
        <color rgb="FF63C384"/>
      </dataBar>
      <extLst>
        <ext xmlns:x14="http://schemas.microsoft.com/office/spreadsheetml/2009/9/main" uri="{B025F937-C7B1-47D3-B67F-A62EFF666E3E}">
          <x14:id>{C9CF7BEE-51B8-4643-AAF9-72C7EEF93100}</x14:id>
        </ext>
      </extLst>
    </cfRule>
  </conditionalFormatting>
  <conditionalFormatting sqref="CU46:CU48">
    <cfRule type="dataBar" priority="14">
      <dataBar>
        <cfvo type="min"/>
        <cfvo type="max"/>
        <color rgb="FF63C384"/>
      </dataBar>
      <extLst>
        <ext xmlns:x14="http://schemas.microsoft.com/office/spreadsheetml/2009/9/main" uri="{B025F937-C7B1-47D3-B67F-A62EFF666E3E}">
          <x14:id>{CD0CE448-7A22-4FBF-B4E4-E6B4D56F3A44}</x14:id>
        </ext>
      </extLst>
    </cfRule>
    <cfRule type="dataBar" priority="8">
      <dataBar>
        <cfvo type="min"/>
        <cfvo type="max"/>
        <color rgb="FF63C384"/>
      </dataBar>
      <extLst>
        <ext xmlns:x14="http://schemas.microsoft.com/office/spreadsheetml/2009/9/main" uri="{B025F937-C7B1-47D3-B67F-A62EFF666E3E}">
          <x14:id>{93AD7845-B157-4646-9ECE-70EDAEC5628B}</x14:id>
        </ext>
      </extLst>
    </cfRule>
    <cfRule type="dataBar" priority="3">
      <dataBar>
        <cfvo type="min"/>
        <cfvo type="max"/>
        <color rgb="FF63C384"/>
      </dataBar>
      <extLst>
        <ext xmlns:x14="http://schemas.microsoft.com/office/spreadsheetml/2009/9/main" uri="{B025F937-C7B1-47D3-B67F-A62EFF666E3E}">
          <x14:id>{05BAC16D-870B-4134-A47A-3E7B2B629E3A}</x14:id>
        </ext>
      </extLst>
    </cfRule>
  </conditionalFormatting>
  <conditionalFormatting sqref="CU47:CU48">
    <cfRule type="dataBar" priority="20">
      <dataBar>
        <cfvo type="min"/>
        <cfvo type="max"/>
        <color rgb="FF63C384"/>
      </dataBar>
      <extLst>
        <ext xmlns:x14="http://schemas.microsoft.com/office/spreadsheetml/2009/9/main" uri="{B025F937-C7B1-47D3-B67F-A62EFF666E3E}">
          <x14:id>{EB5D797E-A59A-4531-BAFC-4E796930F8F8}</x14:id>
        </ext>
      </extLst>
    </cfRule>
  </conditionalFormatting>
  <pageMargins left="0.7" right="0.7" top="0.75" bottom="0.75" header="0.3" footer="0.3"/>
  <pageSetup paperSize="9" orientation="portrait" r:id="rId1"/>
  <tableParts count="7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s>
  <extLst>
    <ext xmlns:x14="http://schemas.microsoft.com/office/spreadsheetml/2009/9/main" uri="{78C0D931-6437-407d-A8EE-F0AAD7539E65}">
      <x14:conditionalFormattings>
        <x14:conditionalFormatting xmlns:xm="http://schemas.microsoft.com/office/excel/2006/main">
          <x14:cfRule type="dataBar" id="{B96C358A-3635-4215-983E-26E1DD4F3AFE}">
            <x14:dataBar minLength="0" maxLength="100" border="1" negativeBarBorderColorSameAsPositive="0">
              <x14:cfvo type="autoMin"/>
              <x14:cfvo type="autoMax"/>
              <x14:borderColor rgb="FF63C384"/>
              <x14:negativeFillColor rgb="FFFF0000"/>
              <x14:negativeBorderColor rgb="FFFF0000"/>
              <x14:axisColor rgb="FF000000"/>
            </x14:dataBar>
          </x14:cfRule>
          <xm:sqref>D4:E14</xm:sqref>
        </x14:conditionalFormatting>
        <x14:conditionalFormatting xmlns:xm="http://schemas.microsoft.com/office/excel/2006/main">
          <x14:cfRule type="dataBar" id="{C36DE2D5-1D94-4E82-BB14-89ACF75927D9}">
            <x14:dataBar minLength="0" maxLength="100" border="1" negativeBarBorderColorSameAsPositive="0">
              <x14:cfvo type="autoMin"/>
              <x14:cfvo type="autoMax"/>
              <x14:borderColor rgb="FF63C384"/>
              <x14:negativeFillColor rgb="FFFF0000"/>
              <x14:negativeBorderColor rgb="FFFF0000"/>
              <x14:axisColor rgb="FF000000"/>
            </x14:dataBar>
          </x14:cfRule>
          <xm:sqref>D18:E23</xm:sqref>
        </x14:conditionalFormatting>
        <x14:conditionalFormatting xmlns:xm="http://schemas.microsoft.com/office/excel/2006/main">
          <x14:cfRule type="dataBar" id="{23866865-13DE-4F4B-A087-A5C67A35FB84}">
            <x14:dataBar minLength="0" maxLength="100" border="1" negativeBarBorderColorSameAsPositive="0">
              <x14:cfvo type="autoMin"/>
              <x14:cfvo type="autoMax"/>
              <x14:borderColor rgb="FF63C384"/>
              <x14:negativeFillColor rgb="FFFF0000"/>
              <x14:negativeBorderColor rgb="FFFF0000"/>
              <x14:axisColor rgb="FF000000"/>
            </x14:dataBar>
          </x14:cfRule>
          <xm:sqref>D27:E31</xm:sqref>
        </x14:conditionalFormatting>
        <x14:conditionalFormatting xmlns:xm="http://schemas.microsoft.com/office/excel/2006/main">
          <x14:cfRule type="dataBar" id="{953A0D21-8D73-40B4-BE25-48D52EE2B6E1}">
            <x14:dataBar minLength="0" maxLength="100" border="1" negativeBarBorderColorSameAsPositive="0">
              <x14:cfvo type="autoMin"/>
              <x14:cfvo type="autoMax"/>
              <x14:borderColor rgb="FF63C384"/>
              <x14:negativeFillColor rgb="FFFF0000"/>
              <x14:negativeBorderColor rgb="FFFF0000"/>
              <x14:axisColor rgb="FF000000"/>
            </x14:dataBar>
          </x14:cfRule>
          <xm:sqref>D34:E35</xm:sqref>
        </x14:conditionalFormatting>
        <x14:conditionalFormatting xmlns:xm="http://schemas.microsoft.com/office/excel/2006/main">
          <x14:cfRule type="dataBar" id="{830F1566-EFFE-4DA9-A3D6-3D45253570ED}">
            <x14:dataBar minLength="0" maxLength="100" border="1" negativeBarBorderColorSameAsPositive="0">
              <x14:cfvo type="autoMin"/>
              <x14:cfvo type="autoMax"/>
              <x14:borderColor rgb="FF63C384"/>
              <x14:negativeFillColor rgb="FFFF0000"/>
              <x14:negativeBorderColor rgb="FFFF0000"/>
              <x14:axisColor rgb="FF000000"/>
            </x14:dataBar>
          </x14:cfRule>
          <xm:sqref>D39:E42</xm:sqref>
        </x14:conditionalFormatting>
        <x14:conditionalFormatting xmlns:xm="http://schemas.microsoft.com/office/excel/2006/main">
          <x14:cfRule type="dataBar" id="{1DD119F5-5838-4AD6-BF63-2085A224D436}">
            <x14:dataBar minLength="0" maxLength="100" border="1" negativeBarBorderColorSameAsPositive="0">
              <x14:cfvo type="autoMin"/>
              <x14:cfvo type="autoMax"/>
              <x14:borderColor rgb="FF63C384"/>
              <x14:negativeFillColor rgb="FFFF0000"/>
              <x14:negativeBorderColor rgb="FFFF0000"/>
              <x14:axisColor rgb="FF000000"/>
            </x14:dataBar>
          </x14:cfRule>
          <xm:sqref>D46:E48</xm:sqref>
        </x14:conditionalFormatting>
        <x14:conditionalFormatting xmlns:xm="http://schemas.microsoft.com/office/excel/2006/main">
          <x14:cfRule type="dataBar" id="{C3EBA609-BB3A-464B-BDF6-2981F6C45CAA}">
            <x14:dataBar minLength="0" maxLength="100" border="1" negativeBarBorderColorSameAsPositive="0">
              <x14:cfvo type="autoMin"/>
              <x14:cfvo type="autoMax"/>
              <x14:borderColor rgb="FF63C384"/>
              <x14:negativeFillColor rgb="FFFF0000"/>
              <x14:negativeBorderColor rgb="FFFF0000"/>
              <x14:axisColor rgb="FF000000"/>
            </x14:dataBar>
          </x14:cfRule>
          <xm:sqref>L4</xm:sqref>
        </x14:conditionalFormatting>
        <x14:conditionalFormatting xmlns:xm="http://schemas.microsoft.com/office/excel/2006/main">
          <x14:cfRule type="dataBar" id="{EBD31882-6E22-42EC-A2E4-4385353A3F9A}">
            <x14:dataBar minLength="0" maxLength="100" border="1" negativeBarBorderColorSameAsPositive="0">
              <x14:cfvo type="autoMin"/>
              <x14:cfvo type="autoMax"/>
              <x14:borderColor rgb="FF63C384"/>
              <x14:negativeFillColor rgb="FFFF0000"/>
              <x14:negativeBorderColor rgb="FFFF0000"/>
              <x14:axisColor rgb="FF000000"/>
            </x14:dataBar>
          </x14:cfRule>
          <xm:sqref>L4:L14</xm:sqref>
        </x14:conditionalFormatting>
        <x14:conditionalFormatting xmlns:xm="http://schemas.microsoft.com/office/excel/2006/main">
          <x14:cfRule type="dataBar" id="{AFF886F1-85F1-4EB1-A75D-44DEB42D37F7}">
            <x14:dataBar minLength="0" maxLength="100" border="1" negativeBarBorderColorSameAsPositive="0">
              <x14:cfvo type="autoMin"/>
              <x14:cfvo type="autoMax"/>
              <x14:borderColor rgb="FF63C384"/>
              <x14:negativeFillColor rgb="FFFF0000"/>
              <x14:negativeBorderColor rgb="FFFF0000"/>
              <x14:axisColor rgb="FF000000"/>
            </x14:dataBar>
          </x14:cfRule>
          <xm:sqref>L5:L14</xm:sqref>
        </x14:conditionalFormatting>
        <x14:conditionalFormatting xmlns:xm="http://schemas.microsoft.com/office/excel/2006/main">
          <x14:cfRule type="dataBar" id="{40CA1550-1ED2-45BC-80BD-4B3035436014}">
            <x14:dataBar minLength="0" maxLength="100" border="1" negativeBarBorderColorSameAsPositive="0">
              <x14:cfvo type="autoMin"/>
              <x14:cfvo type="autoMax"/>
              <x14:borderColor rgb="FF63C384"/>
              <x14:negativeFillColor rgb="FFFF0000"/>
              <x14:negativeBorderColor rgb="FFFF0000"/>
              <x14:axisColor rgb="FF000000"/>
            </x14:dataBar>
          </x14:cfRule>
          <xm:sqref>L18</xm:sqref>
        </x14:conditionalFormatting>
        <x14:conditionalFormatting xmlns:xm="http://schemas.microsoft.com/office/excel/2006/main">
          <x14:cfRule type="dataBar" id="{3ABA943B-7D3E-439C-AED4-0FBADE90B578}">
            <x14:dataBar minLength="0" maxLength="100" border="1" negativeBarBorderColorSameAsPositive="0">
              <x14:cfvo type="autoMin"/>
              <x14:cfvo type="autoMax"/>
              <x14:borderColor rgb="FF63C384"/>
              <x14:negativeFillColor rgb="FFFF0000"/>
              <x14:negativeBorderColor rgb="FFFF0000"/>
              <x14:axisColor rgb="FF000000"/>
            </x14:dataBar>
          </x14:cfRule>
          <xm:sqref>L18:L23</xm:sqref>
        </x14:conditionalFormatting>
        <x14:conditionalFormatting xmlns:xm="http://schemas.microsoft.com/office/excel/2006/main">
          <x14:cfRule type="dataBar" id="{4EAAF3F3-D011-43B2-B911-09BF39147302}">
            <x14:dataBar minLength="0" maxLength="100" border="1" negativeBarBorderColorSameAsPositive="0">
              <x14:cfvo type="autoMin"/>
              <x14:cfvo type="autoMax"/>
              <x14:borderColor rgb="FF63C384"/>
              <x14:negativeFillColor rgb="FFFF0000"/>
              <x14:negativeBorderColor rgb="FFFF0000"/>
              <x14:axisColor rgb="FF000000"/>
            </x14:dataBar>
          </x14:cfRule>
          <xm:sqref>L19:L23</xm:sqref>
        </x14:conditionalFormatting>
        <x14:conditionalFormatting xmlns:xm="http://schemas.microsoft.com/office/excel/2006/main">
          <x14:cfRule type="dataBar" id="{493D3967-8662-4368-961F-7F0C690969D3}">
            <x14:dataBar minLength="0" maxLength="100" border="1" negativeBarBorderColorSameAsPositive="0">
              <x14:cfvo type="autoMin"/>
              <x14:cfvo type="autoMax"/>
              <x14:borderColor rgb="FF63C384"/>
              <x14:negativeFillColor rgb="FFFF0000"/>
              <x14:negativeBorderColor rgb="FFFF0000"/>
              <x14:axisColor rgb="FF000000"/>
            </x14:dataBar>
          </x14:cfRule>
          <xm:sqref>L27</xm:sqref>
        </x14:conditionalFormatting>
        <x14:conditionalFormatting xmlns:xm="http://schemas.microsoft.com/office/excel/2006/main">
          <x14:cfRule type="dataBar" id="{239E2D5E-512E-41E4-B673-220AFA2E1934}">
            <x14:dataBar minLength="0" maxLength="100" border="1" negativeBarBorderColorSameAsPositive="0">
              <x14:cfvo type="autoMin"/>
              <x14:cfvo type="autoMax"/>
              <x14:borderColor rgb="FF63C384"/>
              <x14:negativeFillColor rgb="FFFF0000"/>
              <x14:negativeBorderColor rgb="FFFF0000"/>
              <x14:axisColor rgb="FF000000"/>
            </x14:dataBar>
          </x14:cfRule>
          <xm:sqref>L27:L30</xm:sqref>
        </x14:conditionalFormatting>
        <x14:conditionalFormatting xmlns:xm="http://schemas.microsoft.com/office/excel/2006/main">
          <x14:cfRule type="dataBar" id="{8EDFDE50-3A96-4245-A79C-A6C044D06186}">
            <x14:dataBar minLength="0" maxLength="100" border="1" negativeBarBorderColorSameAsPositive="0">
              <x14:cfvo type="autoMin"/>
              <x14:cfvo type="autoMax"/>
              <x14:borderColor rgb="FF63C384"/>
              <x14:negativeFillColor rgb="FFFF0000"/>
              <x14:negativeBorderColor rgb="FFFF0000"/>
              <x14:axisColor rgb="FF000000"/>
            </x14:dataBar>
          </x14:cfRule>
          <xm:sqref>L28:L31</xm:sqref>
        </x14:conditionalFormatting>
        <x14:conditionalFormatting xmlns:xm="http://schemas.microsoft.com/office/excel/2006/main">
          <x14:cfRule type="dataBar" id="{35BA15BE-D25F-4E08-83A6-1760CED4BE4C}">
            <x14:dataBar minLength="0" maxLength="100" border="1" negativeBarBorderColorSameAsPositive="0">
              <x14:cfvo type="autoMin"/>
              <x14:cfvo type="autoMax"/>
              <x14:borderColor rgb="FF63C384"/>
              <x14:negativeFillColor rgb="FFFF0000"/>
              <x14:negativeBorderColor rgb="FFFF0000"/>
              <x14:axisColor rgb="FF000000"/>
            </x14:dataBar>
          </x14:cfRule>
          <xm:sqref>L34</xm:sqref>
        </x14:conditionalFormatting>
        <x14:conditionalFormatting xmlns:xm="http://schemas.microsoft.com/office/excel/2006/main">
          <x14:cfRule type="dataBar" id="{C70ED452-8DDA-438F-9B68-039A901183B9}">
            <x14:dataBar minLength="0" maxLength="100" border="1" negativeBarBorderColorSameAsPositive="0">
              <x14:cfvo type="autoMin"/>
              <x14:cfvo type="autoMax"/>
              <x14:borderColor rgb="FF63C384"/>
              <x14:negativeFillColor rgb="FFFF0000"/>
              <x14:negativeBorderColor rgb="FFFF0000"/>
              <x14:axisColor rgb="FF000000"/>
            </x14:dataBar>
          </x14:cfRule>
          <xm:sqref>L34:L35</xm:sqref>
        </x14:conditionalFormatting>
        <x14:conditionalFormatting xmlns:xm="http://schemas.microsoft.com/office/excel/2006/main">
          <x14:cfRule type="dataBar" id="{73EEA0DA-C470-4E32-BFBE-4757FCE5003A}">
            <x14:dataBar minLength="0" maxLength="100" border="1" negativeBarBorderColorSameAsPositive="0">
              <x14:cfvo type="autoMin"/>
              <x14:cfvo type="autoMax"/>
              <x14:borderColor rgb="FF63C384"/>
              <x14:negativeFillColor rgb="FFFF0000"/>
              <x14:negativeBorderColor rgb="FFFF0000"/>
              <x14:axisColor rgb="FF000000"/>
            </x14:dataBar>
          </x14:cfRule>
          <xm:sqref>L35</xm:sqref>
        </x14:conditionalFormatting>
        <x14:conditionalFormatting xmlns:xm="http://schemas.microsoft.com/office/excel/2006/main">
          <x14:cfRule type="dataBar" id="{B3CB42E1-9A0E-4251-A250-D85CFFDBFB1A}">
            <x14:dataBar minLength="0" maxLength="100" border="1" negativeBarBorderColorSameAsPositive="0">
              <x14:cfvo type="autoMin"/>
              <x14:cfvo type="autoMax"/>
              <x14:borderColor rgb="FF63C384"/>
              <x14:negativeFillColor rgb="FFFF0000"/>
              <x14:negativeBorderColor rgb="FFFF0000"/>
              <x14:axisColor rgb="FF000000"/>
            </x14:dataBar>
          </x14:cfRule>
          <xm:sqref>L39</xm:sqref>
        </x14:conditionalFormatting>
        <x14:conditionalFormatting xmlns:xm="http://schemas.microsoft.com/office/excel/2006/main">
          <x14:cfRule type="dataBar" id="{5F19F896-44B9-46DA-ABE0-E0DB13AF969D}">
            <x14:dataBar minLength="0" maxLength="100" border="1" negativeBarBorderColorSameAsPositive="0">
              <x14:cfvo type="autoMin"/>
              <x14:cfvo type="autoMax"/>
              <x14:borderColor rgb="FF63C384"/>
              <x14:negativeFillColor rgb="FFFF0000"/>
              <x14:negativeBorderColor rgb="FFFF0000"/>
              <x14:axisColor rgb="FF000000"/>
            </x14:dataBar>
          </x14:cfRule>
          <xm:sqref>L39:L42</xm:sqref>
        </x14:conditionalFormatting>
        <x14:conditionalFormatting xmlns:xm="http://schemas.microsoft.com/office/excel/2006/main">
          <x14:cfRule type="dataBar" id="{D6E4F2C2-C01D-4B9F-BC84-9130E9EAF464}">
            <x14:dataBar minLength="0" maxLength="100" border="1" negativeBarBorderColorSameAsPositive="0">
              <x14:cfvo type="autoMin"/>
              <x14:cfvo type="autoMax"/>
              <x14:borderColor rgb="FF63C384"/>
              <x14:negativeFillColor rgb="FFFF0000"/>
              <x14:negativeBorderColor rgb="FFFF0000"/>
              <x14:axisColor rgb="FF000000"/>
            </x14:dataBar>
          </x14:cfRule>
          <xm:sqref>L40:L42</xm:sqref>
        </x14:conditionalFormatting>
        <x14:conditionalFormatting xmlns:xm="http://schemas.microsoft.com/office/excel/2006/main">
          <x14:cfRule type="dataBar" id="{C909E346-2834-4BD4-889E-EC4484B1C50E}">
            <x14:dataBar minLength="0" maxLength="100" border="1" negativeBarBorderColorSameAsPositive="0">
              <x14:cfvo type="autoMin"/>
              <x14:cfvo type="autoMax"/>
              <x14:borderColor rgb="FF63C384"/>
              <x14:negativeFillColor rgb="FFFF0000"/>
              <x14:negativeBorderColor rgb="FFFF0000"/>
              <x14:axisColor rgb="FF000000"/>
            </x14:dataBar>
          </x14:cfRule>
          <xm:sqref>L46</xm:sqref>
        </x14:conditionalFormatting>
        <x14:conditionalFormatting xmlns:xm="http://schemas.microsoft.com/office/excel/2006/main">
          <x14:cfRule type="dataBar" id="{B126A255-C5E5-4493-9A24-FAE69CA9627A}">
            <x14:dataBar minLength="0" maxLength="100" border="1" negativeBarBorderColorSameAsPositive="0">
              <x14:cfvo type="autoMin"/>
              <x14:cfvo type="autoMax"/>
              <x14:borderColor rgb="FF63C384"/>
              <x14:negativeFillColor rgb="FFFF0000"/>
              <x14:negativeBorderColor rgb="FFFF0000"/>
              <x14:axisColor rgb="FF000000"/>
            </x14:dataBar>
          </x14:cfRule>
          <xm:sqref>L46:L48</xm:sqref>
        </x14:conditionalFormatting>
        <x14:conditionalFormatting xmlns:xm="http://schemas.microsoft.com/office/excel/2006/main">
          <x14:cfRule type="dataBar" id="{9AF9D851-C82F-46B4-A3C4-1BE7DF1DFF42}">
            <x14:dataBar minLength="0" maxLength="100" border="1" negativeBarBorderColorSameAsPositive="0">
              <x14:cfvo type="autoMin"/>
              <x14:cfvo type="autoMax"/>
              <x14:borderColor rgb="FF63C384"/>
              <x14:negativeFillColor rgb="FFFF0000"/>
              <x14:negativeBorderColor rgb="FFFF0000"/>
              <x14:axisColor rgb="FF000000"/>
            </x14:dataBar>
          </x14:cfRule>
          <xm:sqref>L47:L48</xm:sqref>
        </x14:conditionalFormatting>
        <x14:conditionalFormatting xmlns:xm="http://schemas.microsoft.com/office/excel/2006/main">
          <x14:cfRule type="dataBar" id="{AE7D5EA9-4B7A-48D3-A649-3C22E0D86347}">
            <x14:dataBar minLength="0" maxLength="100" border="1" negativeBarBorderColorSameAsPositive="0">
              <x14:cfvo type="autoMin"/>
              <x14:cfvo type="autoMax"/>
              <x14:borderColor rgb="FF63C384"/>
              <x14:negativeFillColor rgb="FFFF0000"/>
              <x14:negativeBorderColor rgb="FFFF0000"/>
              <x14:axisColor rgb="FF000000"/>
            </x14:dataBar>
          </x14:cfRule>
          <xm:sqref>S4</xm:sqref>
        </x14:conditionalFormatting>
        <x14:conditionalFormatting xmlns:xm="http://schemas.microsoft.com/office/excel/2006/main">
          <x14:cfRule type="dataBar" id="{A47D6EFF-ACFF-48B7-BCAB-0C997FFA3E16}">
            <x14:dataBar minLength="0" maxLength="100" border="1" negativeBarBorderColorSameAsPositive="0">
              <x14:cfvo type="autoMin"/>
              <x14:cfvo type="autoMax"/>
              <x14:borderColor rgb="FF63C384"/>
              <x14:negativeFillColor rgb="FFFF0000"/>
              <x14:negativeBorderColor rgb="FFFF0000"/>
              <x14:axisColor rgb="FF000000"/>
            </x14:dataBar>
          </x14:cfRule>
          <xm:sqref>S4:S14</xm:sqref>
        </x14:conditionalFormatting>
        <x14:conditionalFormatting xmlns:xm="http://schemas.microsoft.com/office/excel/2006/main">
          <x14:cfRule type="dataBar" id="{56F22480-801B-4911-84BA-3D13A616AFB1}">
            <x14:dataBar minLength="0" maxLength="100" border="1" negativeBarBorderColorSameAsPositive="0">
              <x14:cfvo type="autoMin"/>
              <x14:cfvo type="autoMax"/>
              <x14:borderColor rgb="FF63C384"/>
              <x14:negativeFillColor rgb="FFFF0000"/>
              <x14:negativeBorderColor rgb="FFFF0000"/>
              <x14:axisColor rgb="FF000000"/>
            </x14:dataBar>
          </x14:cfRule>
          <xm:sqref>S5:S14</xm:sqref>
        </x14:conditionalFormatting>
        <x14:conditionalFormatting xmlns:xm="http://schemas.microsoft.com/office/excel/2006/main">
          <x14:cfRule type="dataBar" id="{F8175045-F0C2-4257-AC24-34F00AC84864}">
            <x14:dataBar minLength="0" maxLength="100" border="1" negativeBarBorderColorSameAsPositive="0">
              <x14:cfvo type="autoMin"/>
              <x14:cfvo type="autoMax"/>
              <x14:borderColor rgb="FF63C384"/>
              <x14:negativeFillColor rgb="FFFF0000"/>
              <x14:negativeBorderColor rgb="FFFF0000"/>
              <x14:axisColor rgb="FF000000"/>
            </x14:dataBar>
          </x14:cfRule>
          <xm:sqref>S18</xm:sqref>
        </x14:conditionalFormatting>
        <x14:conditionalFormatting xmlns:xm="http://schemas.microsoft.com/office/excel/2006/main">
          <x14:cfRule type="dataBar" id="{85E651F8-AFCF-43CE-8A2C-4A1320E0FD3D}">
            <x14:dataBar minLength="0" maxLength="100" border="1" negativeBarBorderColorSameAsPositive="0">
              <x14:cfvo type="autoMin"/>
              <x14:cfvo type="autoMax"/>
              <x14:borderColor rgb="FF63C384"/>
              <x14:negativeFillColor rgb="FFFF0000"/>
              <x14:negativeBorderColor rgb="FFFF0000"/>
              <x14:axisColor rgb="FF000000"/>
            </x14:dataBar>
          </x14:cfRule>
          <xm:sqref>S18:S23</xm:sqref>
        </x14:conditionalFormatting>
        <x14:conditionalFormatting xmlns:xm="http://schemas.microsoft.com/office/excel/2006/main">
          <x14:cfRule type="dataBar" id="{4F88E1C9-231A-4082-B2CB-EC76A5CFFBA4}">
            <x14:dataBar minLength="0" maxLength="100" border="1" negativeBarBorderColorSameAsPositive="0">
              <x14:cfvo type="autoMin"/>
              <x14:cfvo type="autoMax"/>
              <x14:borderColor rgb="FF63C384"/>
              <x14:negativeFillColor rgb="FFFF0000"/>
              <x14:negativeBorderColor rgb="FFFF0000"/>
              <x14:axisColor rgb="FF000000"/>
            </x14:dataBar>
          </x14:cfRule>
          <xm:sqref>S19:S23</xm:sqref>
        </x14:conditionalFormatting>
        <x14:conditionalFormatting xmlns:xm="http://schemas.microsoft.com/office/excel/2006/main">
          <x14:cfRule type="dataBar" id="{DDB528C6-594A-4FC4-85B1-6F15A09DA45D}">
            <x14:dataBar minLength="0" maxLength="100" border="1" negativeBarBorderColorSameAsPositive="0">
              <x14:cfvo type="autoMin"/>
              <x14:cfvo type="autoMax"/>
              <x14:borderColor rgb="FF63C384"/>
              <x14:negativeFillColor rgb="FFFF0000"/>
              <x14:negativeBorderColor rgb="FFFF0000"/>
              <x14:axisColor rgb="FF000000"/>
            </x14:dataBar>
          </x14:cfRule>
          <xm:sqref>S27</xm:sqref>
        </x14:conditionalFormatting>
        <x14:conditionalFormatting xmlns:xm="http://schemas.microsoft.com/office/excel/2006/main">
          <x14:cfRule type="dataBar" id="{5CDFEB27-C1AD-4015-BDAA-FED750884EBA}">
            <x14:dataBar minLength="0" maxLength="100" border="1" negativeBarBorderColorSameAsPositive="0">
              <x14:cfvo type="autoMin"/>
              <x14:cfvo type="autoMax"/>
              <x14:borderColor rgb="FF63C384"/>
              <x14:negativeFillColor rgb="FFFF0000"/>
              <x14:negativeBorderColor rgb="FFFF0000"/>
              <x14:axisColor rgb="FF000000"/>
            </x14:dataBar>
          </x14:cfRule>
          <xm:sqref>S27:S30</xm:sqref>
        </x14:conditionalFormatting>
        <x14:conditionalFormatting xmlns:xm="http://schemas.microsoft.com/office/excel/2006/main">
          <x14:cfRule type="dataBar" id="{C0FE1960-30E1-4E48-A331-153C96E8DD28}">
            <x14:dataBar minLength="0" maxLength="100" border="1" negativeBarBorderColorSameAsPositive="0">
              <x14:cfvo type="autoMin"/>
              <x14:cfvo type="autoMax"/>
              <x14:borderColor rgb="FF63C384"/>
              <x14:negativeFillColor rgb="FFFF0000"/>
              <x14:negativeBorderColor rgb="FFFF0000"/>
              <x14:axisColor rgb="FF000000"/>
            </x14:dataBar>
          </x14:cfRule>
          <xm:sqref>S28:S31</xm:sqref>
        </x14:conditionalFormatting>
        <x14:conditionalFormatting xmlns:xm="http://schemas.microsoft.com/office/excel/2006/main">
          <x14:cfRule type="dataBar" id="{FFD255A5-EF79-47B9-95BA-174CBD3A2F1E}">
            <x14:dataBar minLength="0" maxLength="100" border="1" negativeBarBorderColorSameAsPositive="0">
              <x14:cfvo type="autoMin"/>
              <x14:cfvo type="autoMax"/>
              <x14:borderColor rgb="FF63C384"/>
              <x14:negativeFillColor rgb="FFFF0000"/>
              <x14:negativeBorderColor rgb="FFFF0000"/>
              <x14:axisColor rgb="FF000000"/>
            </x14:dataBar>
          </x14:cfRule>
          <xm:sqref>S34</xm:sqref>
        </x14:conditionalFormatting>
        <x14:conditionalFormatting xmlns:xm="http://schemas.microsoft.com/office/excel/2006/main">
          <x14:cfRule type="dataBar" id="{9010FCD6-AAD9-4E6E-94A6-DB9E9720242B}">
            <x14:dataBar minLength="0" maxLength="100" border="1" negativeBarBorderColorSameAsPositive="0">
              <x14:cfvo type="autoMin"/>
              <x14:cfvo type="autoMax"/>
              <x14:borderColor rgb="FF63C384"/>
              <x14:negativeFillColor rgb="FFFF0000"/>
              <x14:negativeBorderColor rgb="FFFF0000"/>
              <x14:axisColor rgb="FF000000"/>
            </x14:dataBar>
          </x14:cfRule>
          <xm:sqref>S34:S35</xm:sqref>
        </x14:conditionalFormatting>
        <x14:conditionalFormatting xmlns:xm="http://schemas.microsoft.com/office/excel/2006/main">
          <x14:cfRule type="dataBar" id="{4F5F8966-2291-4D05-AF59-ECD726A4B2AF}">
            <x14:dataBar minLength="0" maxLength="100" border="1" negativeBarBorderColorSameAsPositive="0">
              <x14:cfvo type="autoMin"/>
              <x14:cfvo type="autoMax"/>
              <x14:borderColor rgb="FF63C384"/>
              <x14:negativeFillColor rgb="FFFF0000"/>
              <x14:negativeBorderColor rgb="FFFF0000"/>
              <x14:axisColor rgb="FF000000"/>
            </x14:dataBar>
          </x14:cfRule>
          <xm:sqref>S35</xm:sqref>
        </x14:conditionalFormatting>
        <x14:conditionalFormatting xmlns:xm="http://schemas.microsoft.com/office/excel/2006/main">
          <x14:cfRule type="dataBar" id="{B72957F4-A001-435B-B3A2-322184909FB0}">
            <x14:dataBar minLength="0" maxLength="100" border="1" negativeBarBorderColorSameAsPositive="0">
              <x14:cfvo type="autoMin"/>
              <x14:cfvo type="autoMax"/>
              <x14:borderColor rgb="FF63C384"/>
              <x14:negativeFillColor rgb="FFFF0000"/>
              <x14:negativeBorderColor rgb="FFFF0000"/>
              <x14:axisColor rgb="FF000000"/>
            </x14:dataBar>
          </x14:cfRule>
          <xm:sqref>S39</xm:sqref>
        </x14:conditionalFormatting>
        <x14:conditionalFormatting xmlns:xm="http://schemas.microsoft.com/office/excel/2006/main">
          <x14:cfRule type="dataBar" id="{D45986BC-3540-40CB-9C7A-FA6417C98D9E}">
            <x14:dataBar minLength="0" maxLength="100" border="1" negativeBarBorderColorSameAsPositive="0">
              <x14:cfvo type="autoMin"/>
              <x14:cfvo type="autoMax"/>
              <x14:borderColor rgb="FF63C384"/>
              <x14:negativeFillColor rgb="FFFF0000"/>
              <x14:negativeBorderColor rgb="FFFF0000"/>
              <x14:axisColor rgb="FF000000"/>
            </x14:dataBar>
          </x14:cfRule>
          <xm:sqref>S39:S42</xm:sqref>
        </x14:conditionalFormatting>
        <x14:conditionalFormatting xmlns:xm="http://schemas.microsoft.com/office/excel/2006/main">
          <x14:cfRule type="dataBar" id="{D0FDD129-9C32-453E-9ADC-9633171F94C3}">
            <x14:dataBar minLength="0" maxLength="100" border="1" negativeBarBorderColorSameAsPositive="0">
              <x14:cfvo type="autoMin"/>
              <x14:cfvo type="autoMax"/>
              <x14:borderColor rgb="FF63C384"/>
              <x14:negativeFillColor rgb="FFFF0000"/>
              <x14:negativeBorderColor rgb="FFFF0000"/>
              <x14:axisColor rgb="FF000000"/>
            </x14:dataBar>
          </x14:cfRule>
          <xm:sqref>S40:S42</xm:sqref>
        </x14:conditionalFormatting>
        <x14:conditionalFormatting xmlns:xm="http://schemas.microsoft.com/office/excel/2006/main">
          <x14:cfRule type="dataBar" id="{17A580F1-877B-4B2F-AD45-001D442C6C1F}">
            <x14:dataBar minLength="0" maxLength="100" border="1" negativeBarBorderColorSameAsPositive="0">
              <x14:cfvo type="autoMin"/>
              <x14:cfvo type="autoMax"/>
              <x14:borderColor rgb="FF63C384"/>
              <x14:negativeFillColor rgb="FFFF0000"/>
              <x14:negativeBorderColor rgb="FFFF0000"/>
              <x14:axisColor rgb="FF000000"/>
            </x14:dataBar>
          </x14:cfRule>
          <xm:sqref>S46</xm:sqref>
        </x14:conditionalFormatting>
        <x14:conditionalFormatting xmlns:xm="http://schemas.microsoft.com/office/excel/2006/main">
          <x14:cfRule type="dataBar" id="{50E72EDA-BEBD-4AF9-A370-F9ECC55A612D}">
            <x14:dataBar minLength="0" maxLength="100" border="1" negativeBarBorderColorSameAsPositive="0">
              <x14:cfvo type="autoMin"/>
              <x14:cfvo type="autoMax"/>
              <x14:borderColor rgb="FF63C384"/>
              <x14:negativeFillColor rgb="FFFF0000"/>
              <x14:negativeBorderColor rgb="FFFF0000"/>
              <x14:axisColor rgb="FF000000"/>
            </x14:dataBar>
          </x14:cfRule>
          <xm:sqref>S46:S48</xm:sqref>
        </x14:conditionalFormatting>
        <x14:conditionalFormatting xmlns:xm="http://schemas.microsoft.com/office/excel/2006/main">
          <x14:cfRule type="dataBar" id="{E2C89760-2D82-4F22-8F0E-A33198574455}">
            <x14:dataBar minLength="0" maxLength="100" border="1" negativeBarBorderColorSameAsPositive="0">
              <x14:cfvo type="autoMin"/>
              <x14:cfvo type="autoMax"/>
              <x14:borderColor rgb="FF63C384"/>
              <x14:negativeFillColor rgb="FFFF0000"/>
              <x14:negativeBorderColor rgb="FFFF0000"/>
              <x14:axisColor rgb="FF000000"/>
            </x14:dataBar>
          </x14:cfRule>
          <xm:sqref>S47:S48</xm:sqref>
        </x14:conditionalFormatting>
        <x14:conditionalFormatting xmlns:xm="http://schemas.microsoft.com/office/excel/2006/main">
          <x14:cfRule type="dataBar" id="{DFA77617-CF6C-4730-9D00-9E1E1F5E9C8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976684A-BD0C-4D8E-B43C-D75589B8DB91}">
            <x14:dataBar minLength="0" maxLength="100" border="1" negativeBarBorderColorSameAsPositive="0">
              <x14:cfvo type="autoMin"/>
              <x14:cfvo type="autoMax"/>
              <x14:borderColor rgb="FF63C384"/>
              <x14:negativeFillColor rgb="FFFF0000"/>
              <x14:negativeBorderColor rgb="FFFF0000"/>
              <x14:axisColor rgb="FF000000"/>
            </x14:dataBar>
          </x14:cfRule>
          <xm:sqref>AA4</xm:sqref>
        </x14:conditionalFormatting>
        <x14:conditionalFormatting xmlns:xm="http://schemas.microsoft.com/office/excel/2006/main">
          <x14:cfRule type="dataBar" id="{1DAB0298-9C84-4AEF-B7F9-9599C8BEABE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A0CB46B-7036-46EB-91B4-92D4970418CF}">
            <x14:dataBar minLength="0" maxLength="100" border="1" negativeBarBorderColorSameAsPositive="0">
              <x14:cfvo type="autoMin"/>
              <x14:cfvo type="autoMax"/>
              <x14:borderColor rgb="FF63C384"/>
              <x14:negativeFillColor rgb="FFFF0000"/>
              <x14:negativeBorderColor rgb="FFFF0000"/>
              <x14:axisColor rgb="FF000000"/>
            </x14:dataBar>
          </x14:cfRule>
          <xm:sqref>AA5:AA14</xm:sqref>
        </x14:conditionalFormatting>
        <x14:conditionalFormatting xmlns:xm="http://schemas.microsoft.com/office/excel/2006/main">
          <x14:cfRule type="dataBar" id="{0231C6DB-B903-4EF9-97DE-A30522882F8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BF31132-E1EE-4F3B-9AB2-91D5F5E5EF8B}">
            <x14:dataBar minLength="0" maxLength="100" border="1" negativeBarBorderColorSameAsPositive="0">
              <x14:cfvo type="autoMin"/>
              <x14:cfvo type="autoMax"/>
              <x14:borderColor rgb="FF63C384"/>
              <x14:negativeFillColor rgb="FFFF0000"/>
              <x14:negativeBorderColor rgb="FFFF0000"/>
              <x14:axisColor rgb="FF000000"/>
            </x14:dataBar>
          </x14:cfRule>
          <xm:sqref>AA18</xm:sqref>
        </x14:conditionalFormatting>
        <x14:conditionalFormatting xmlns:xm="http://schemas.microsoft.com/office/excel/2006/main">
          <x14:cfRule type="dataBar" id="{0D151FE0-51CE-4551-91D0-E6D4DE49B6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29B92B-921B-46EC-AE11-A73A086A527C}">
            <x14:dataBar minLength="0" maxLength="100" border="1" negativeBarBorderColorSameAsPositive="0">
              <x14:cfvo type="autoMin"/>
              <x14:cfvo type="autoMax"/>
              <x14:borderColor rgb="FF63C384"/>
              <x14:negativeFillColor rgb="FFFF0000"/>
              <x14:negativeBorderColor rgb="FFFF0000"/>
              <x14:axisColor rgb="FF000000"/>
            </x14:dataBar>
          </x14:cfRule>
          <xm:sqref>AA19:AA23</xm:sqref>
        </x14:conditionalFormatting>
        <x14:conditionalFormatting xmlns:xm="http://schemas.microsoft.com/office/excel/2006/main">
          <x14:cfRule type="dataBar" id="{4669A75C-7BFB-43A8-98A2-32683BA4BA2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FE9ED33-BA68-4FBA-8EF8-058D19A1BFAA}">
            <x14:dataBar minLength="0" maxLength="100" border="1" negativeBarBorderColorSameAsPositive="0">
              <x14:cfvo type="autoMin"/>
              <x14:cfvo type="autoMax"/>
              <x14:borderColor rgb="FF63C384"/>
              <x14:negativeFillColor rgb="FFFF0000"/>
              <x14:negativeBorderColor rgb="FFFF0000"/>
              <x14:axisColor rgb="FF000000"/>
            </x14:dataBar>
          </x14:cfRule>
          <xm:sqref>AA27</xm:sqref>
        </x14:conditionalFormatting>
        <x14:conditionalFormatting xmlns:xm="http://schemas.microsoft.com/office/excel/2006/main">
          <x14:cfRule type="dataBar" id="{0074CA9A-015C-413F-BC30-9AF66C468C08}">
            <x14:dataBar minLength="0" maxLength="100" border="1" negativeBarBorderColorSameAsPositive="0">
              <x14:cfvo type="autoMin"/>
              <x14:cfvo type="autoMax"/>
              <x14:borderColor rgb="FF63C384"/>
              <x14:negativeFillColor rgb="FFFF0000"/>
              <x14:negativeBorderColor rgb="FFFF0000"/>
              <x14:axisColor rgb="FF000000"/>
            </x14:dataBar>
          </x14:cfRule>
          <xm:sqref>AA28:AA30</xm:sqref>
        </x14:conditionalFormatting>
        <x14:conditionalFormatting xmlns:xm="http://schemas.microsoft.com/office/excel/2006/main">
          <x14:cfRule type="dataBar" id="{BF33D609-0409-4592-AB4E-C2AACE870F60}">
            <x14:dataBar minLength="0" maxLength="100" border="1" negativeBarBorderColorSameAsPositive="0">
              <x14:cfvo type="autoMin"/>
              <x14:cfvo type="autoMax"/>
              <x14:borderColor rgb="FF63C384"/>
              <x14:negativeFillColor rgb="FFFF0000"/>
              <x14:negativeBorderColor rgb="FFFF0000"/>
              <x14:axisColor rgb="FF000000"/>
            </x14:dataBar>
          </x14:cfRule>
          <xm:sqref>AA28:AA31</xm:sqref>
        </x14:conditionalFormatting>
        <x14:conditionalFormatting xmlns:xm="http://schemas.microsoft.com/office/excel/2006/main">
          <x14:cfRule type="dataBar" id="{71E304BC-898F-450C-BCDE-6E0E3412B54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587AF2F-3C99-4EC0-B116-9B1D5FC9CD00}">
            <x14:dataBar minLength="0" maxLength="100" border="1" negativeBarBorderColorSameAsPositive="0">
              <x14:cfvo type="autoMin"/>
              <x14:cfvo type="autoMax"/>
              <x14:borderColor rgb="FF63C384"/>
              <x14:negativeFillColor rgb="FFFF0000"/>
              <x14:negativeBorderColor rgb="FFFF0000"/>
              <x14:axisColor rgb="FF000000"/>
            </x14:dataBar>
          </x14:cfRule>
          <xm:sqref>AA34</xm:sqref>
        </x14:conditionalFormatting>
        <x14:conditionalFormatting xmlns:xm="http://schemas.microsoft.com/office/excel/2006/main">
          <x14:cfRule type="dataBar" id="{C2456233-BE91-4FB8-8C8F-7D1F93D0BF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D298345-EE6D-4B3C-8C78-EC73DF85D47B}">
            <x14:dataBar minLength="0" maxLength="100" border="1" negativeBarBorderColorSameAsPositive="0">
              <x14:cfvo type="autoMin"/>
              <x14:cfvo type="autoMax"/>
              <x14:borderColor rgb="FF63C384"/>
              <x14:negativeFillColor rgb="FFFF0000"/>
              <x14:negativeBorderColor rgb="FFFF0000"/>
              <x14:axisColor rgb="FF000000"/>
            </x14:dataBar>
          </x14:cfRule>
          <xm:sqref>AA35</xm:sqref>
        </x14:conditionalFormatting>
        <x14:conditionalFormatting xmlns:xm="http://schemas.microsoft.com/office/excel/2006/main">
          <x14:cfRule type="dataBar" id="{4A972198-99A0-4DF6-B8B5-41488035EBF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3B64667-2CBE-4965-B09A-BC8CC1ED8691}">
            <x14:dataBar minLength="0" maxLength="100" border="1" negativeBarBorderColorSameAsPositive="0">
              <x14:cfvo type="autoMin"/>
              <x14:cfvo type="autoMax"/>
              <x14:borderColor rgb="FF63C384"/>
              <x14:negativeFillColor rgb="FFFF0000"/>
              <x14:negativeBorderColor rgb="FFFF0000"/>
              <x14:axisColor rgb="FF000000"/>
            </x14:dataBar>
          </x14:cfRule>
          <xm:sqref>AA39</xm:sqref>
        </x14:conditionalFormatting>
        <x14:conditionalFormatting xmlns:xm="http://schemas.microsoft.com/office/excel/2006/main">
          <x14:cfRule type="dataBar" id="{21205B9D-60DB-4440-8F14-706CEDDB6A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B18A4B-0F70-4285-8FE7-61F2C4865E70}">
            <x14:dataBar minLength="0" maxLength="100" border="1" negativeBarBorderColorSameAsPositive="0">
              <x14:cfvo type="autoMin"/>
              <x14:cfvo type="autoMax"/>
              <x14:borderColor rgb="FF63C384"/>
              <x14:negativeFillColor rgb="FFFF0000"/>
              <x14:negativeBorderColor rgb="FFFF0000"/>
              <x14:axisColor rgb="FF000000"/>
            </x14:dataBar>
          </x14:cfRule>
          <xm:sqref>AA40:AA42</xm:sqref>
        </x14:conditionalFormatting>
        <x14:conditionalFormatting xmlns:xm="http://schemas.microsoft.com/office/excel/2006/main">
          <x14:cfRule type="dataBar" id="{53B0614C-BA1D-4C54-B56C-B0864AAEFCB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83513DF-7112-4D83-A640-B70A46CDBF81}">
            <x14:dataBar minLength="0" maxLength="100" border="1" negativeBarBorderColorSameAsPositive="0">
              <x14:cfvo type="autoMin"/>
              <x14:cfvo type="autoMax"/>
              <x14:borderColor rgb="FF63C384"/>
              <x14:negativeFillColor rgb="FFFF0000"/>
              <x14:negativeBorderColor rgb="FFFF0000"/>
              <x14:axisColor rgb="FF000000"/>
            </x14:dataBar>
          </x14:cfRule>
          <xm:sqref>AA46</xm:sqref>
        </x14:conditionalFormatting>
        <x14:conditionalFormatting xmlns:xm="http://schemas.microsoft.com/office/excel/2006/main">
          <x14:cfRule type="dataBar" id="{B03A5592-A03E-4F88-B3D4-B2A49938A56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E378E18-7A21-47C2-B1DD-00286CEAC8FE}">
            <x14:dataBar minLength="0" maxLength="100" border="1" negativeBarBorderColorSameAsPositive="0">
              <x14:cfvo type="autoMin"/>
              <x14:cfvo type="autoMax"/>
              <x14:borderColor rgb="FF63C384"/>
              <x14:negativeFillColor rgb="FFFF0000"/>
              <x14:negativeBorderColor rgb="FFFF0000"/>
              <x14:axisColor rgb="FF000000"/>
            </x14:dataBar>
          </x14:cfRule>
          <xm:sqref>AA47:AA48</xm:sqref>
        </x14:conditionalFormatting>
        <x14:conditionalFormatting xmlns:xm="http://schemas.microsoft.com/office/excel/2006/main">
          <x14:cfRule type="dataBar" id="{A25350F9-7CEF-4DBA-8677-61710D2ECD0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D8CA3EE-4BAC-4397-B92C-2EE2656CA289}">
            <x14:dataBar minLength="0" maxLength="100" border="1" negativeBarBorderColorSameAsPositive="0">
              <x14:cfvo type="autoMin"/>
              <x14:cfvo type="autoMax"/>
              <x14:borderColor rgb="FF63C384"/>
              <x14:negativeFillColor rgb="FFFF0000"/>
              <x14:negativeBorderColor rgb="FFFF0000"/>
              <x14:axisColor rgb="FF000000"/>
            </x14:dataBar>
          </x14:cfRule>
          <xm:sqref>AI4</xm:sqref>
        </x14:conditionalFormatting>
        <x14:conditionalFormatting xmlns:xm="http://schemas.microsoft.com/office/excel/2006/main">
          <x14:cfRule type="dataBar" id="{95E9498F-A169-4108-9D0A-D847A03A4EB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88A4ED2-AA88-41C3-80D1-81DB2E640DAA}">
            <x14:dataBar minLength="0" maxLength="100" border="1" negativeBarBorderColorSameAsPositive="0">
              <x14:cfvo type="autoMin"/>
              <x14:cfvo type="autoMax"/>
              <x14:borderColor rgb="FF63C384"/>
              <x14:negativeFillColor rgb="FFFF0000"/>
              <x14:negativeBorderColor rgb="FFFF0000"/>
              <x14:axisColor rgb="FF000000"/>
            </x14:dataBar>
          </x14:cfRule>
          <xm:sqref>AI5:AI14</xm:sqref>
        </x14:conditionalFormatting>
        <x14:conditionalFormatting xmlns:xm="http://schemas.microsoft.com/office/excel/2006/main">
          <x14:cfRule type="dataBar" id="{FFB80C79-FC42-438A-B541-63B3FEE38D1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18ACF86-6FA3-4BCF-81BA-B7622995EE78}">
            <x14:dataBar minLength="0" maxLength="100" border="1" negativeBarBorderColorSameAsPositive="0">
              <x14:cfvo type="autoMin"/>
              <x14:cfvo type="autoMax"/>
              <x14:borderColor rgb="FF63C384"/>
              <x14:negativeFillColor rgb="FFFF0000"/>
              <x14:negativeBorderColor rgb="FFFF0000"/>
              <x14:axisColor rgb="FF000000"/>
            </x14:dataBar>
          </x14:cfRule>
          <xm:sqref>AI18</xm:sqref>
        </x14:conditionalFormatting>
        <x14:conditionalFormatting xmlns:xm="http://schemas.microsoft.com/office/excel/2006/main">
          <x14:cfRule type="dataBar" id="{C63490A1-081A-46EF-8121-346A4E176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9773A85-8C73-4310-B25E-5AA64EB739D6}">
            <x14:dataBar minLength="0" maxLength="100" border="1" negativeBarBorderColorSameAsPositive="0">
              <x14:cfvo type="autoMin"/>
              <x14:cfvo type="autoMax"/>
              <x14:borderColor rgb="FF63C384"/>
              <x14:negativeFillColor rgb="FFFF0000"/>
              <x14:negativeBorderColor rgb="FFFF0000"/>
              <x14:axisColor rgb="FF000000"/>
            </x14:dataBar>
          </x14:cfRule>
          <xm:sqref>AI19:AI23</xm:sqref>
        </x14:conditionalFormatting>
        <x14:conditionalFormatting xmlns:xm="http://schemas.microsoft.com/office/excel/2006/main">
          <x14:cfRule type="dataBar" id="{EB19B51B-BDE4-4F16-8F77-603AFF4ACE6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04BF0DB-ECE2-4554-A7F1-0C68075A9DB1}">
            <x14:dataBar minLength="0" maxLength="100" border="1" negativeBarBorderColorSameAsPositive="0">
              <x14:cfvo type="autoMin"/>
              <x14:cfvo type="autoMax"/>
              <x14:borderColor rgb="FF63C384"/>
              <x14:negativeFillColor rgb="FFFF0000"/>
              <x14:negativeBorderColor rgb="FFFF0000"/>
              <x14:axisColor rgb="FF000000"/>
            </x14:dataBar>
          </x14:cfRule>
          <xm:sqref>AI27</xm:sqref>
        </x14:conditionalFormatting>
        <x14:conditionalFormatting xmlns:xm="http://schemas.microsoft.com/office/excel/2006/main">
          <x14:cfRule type="dataBar" id="{8005C808-4BFF-4D2B-AACF-751F0E5D07A8}">
            <x14:dataBar minLength="0" maxLength="100" border="1" negativeBarBorderColorSameAsPositive="0">
              <x14:cfvo type="autoMin"/>
              <x14:cfvo type="autoMax"/>
              <x14:borderColor rgb="FF63C384"/>
              <x14:negativeFillColor rgb="FFFF0000"/>
              <x14:negativeBorderColor rgb="FFFF0000"/>
              <x14:axisColor rgb="FF000000"/>
            </x14:dataBar>
          </x14:cfRule>
          <xm:sqref>AI28:AI30</xm:sqref>
        </x14:conditionalFormatting>
        <x14:conditionalFormatting xmlns:xm="http://schemas.microsoft.com/office/excel/2006/main">
          <x14:cfRule type="dataBar" id="{B038FDB4-02C9-48B2-A206-EF772F6EC9CF}">
            <x14:dataBar minLength="0" maxLength="100" border="1" negativeBarBorderColorSameAsPositive="0">
              <x14:cfvo type="autoMin"/>
              <x14:cfvo type="autoMax"/>
              <x14:borderColor rgb="FF63C384"/>
              <x14:negativeFillColor rgb="FFFF0000"/>
              <x14:negativeBorderColor rgb="FFFF0000"/>
              <x14:axisColor rgb="FF000000"/>
            </x14:dataBar>
          </x14:cfRule>
          <xm:sqref>AI28:AI31</xm:sqref>
        </x14:conditionalFormatting>
        <x14:conditionalFormatting xmlns:xm="http://schemas.microsoft.com/office/excel/2006/main">
          <x14:cfRule type="dataBar" id="{951602BE-ABEA-4098-85D3-6A4B6B9641E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39E6526-300D-42D8-AA4C-D2C6A48C64D8}">
            <x14:dataBar minLength="0" maxLength="100" border="1" negativeBarBorderColorSameAsPositive="0">
              <x14:cfvo type="autoMin"/>
              <x14:cfvo type="autoMax"/>
              <x14:borderColor rgb="FF63C384"/>
              <x14:negativeFillColor rgb="FFFF0000"/>
              <x14:negativeBorderColor rgb="FFFF0000"/>
              <x14:axisColor rgb="FF000000"/>
            </x14:dataBar>
          </x14:cfRule>
          <xm:sqref>AI34</xm:sqref>
        </x14:conditionalFormatting>
        <x14:conditionalFormatting xmlns:xm="http://schemas.microsoft.com/office/excel/2006/main">
          <x14:cfRule type="dataBar" id="{8CA6BE29-8DE1-49CA-B6C5-62C54D141B3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1A80EC8-F26B-4483-B38A-2CC85FD38E53}">
            <x14:dataBar minLength="0" maxLength="100" border="1" negativeBarBorderColorSameAsPositive="0">
              <x14:cfvo type="autoMin"/>
              <x14:cfvo type="autoMax"/>
              <x14:borderColor rgb="FF63C384"/>
              <x14:negativeFillColor rgb="FFFF0000"/>
              <x14:negativeBorderColor rgb="FFFF0000"/>
              <x14:axisColor rgb="FF000000"/>
            </x14:dataBar>
          </x14:cfRule>
          <xm:sqref>AI35</xm:sqref>
        </x14:conditionalFormatting>
        <x14:conditionalFormatting xmlns:xm="http://schemas.microsoft.com/office/excel/2006/main">
          <x14:cfRule type="dataBar" id="{44E373C6-B207-4273-8304-A078C441CAB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C806484-DB35-43F0-92D4-3C56A4E574F0}">
            <x14:dataBar minLength="0" maxLength="100" border="1" negativeBarBorderColorSameAsPositive="0">
              <x14:cfvo type="autoMin"/>
              <x14:cfvo type="autoMax"/>
              <x14:borderColor rgb="FF63C384"/>
              <x14:negativeFillColor rgb="FFFF0000"/>
              <x14:negativeBorderColor rgb="FFFF0000"/>
              <x14:axisColor rgb="FF000000"/>
            </x14:dataBar>
          </x14:cfRule>
          <xm:sqref>AI39</xm:sqref>
        </x14:conditionalFormatting>
        <x14:conditionalFormatting xmlns:xm="http://schemas.microsoft.com/office/excel/2006/main">
          <x14:cfRule type="dataBar" id="{06B2C580-6709-49E4-8949-0758972FA26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45526AA-1345-4B1F-A5AD-9D1BF6F5B6A7}">
            <x14:dataBar minLength="0" maxLength="100" border="1" negativeBarBorderColorSameAsPositive="0">
              <x14:cfvo type="autoMin"/>
              <x14:cfvo type="autoMax"/>
              <x14:borderColor rgb="FF63C384"/>
              <x14:negativeFillColor rgb="FFFF0000"/>
              <x14:negativeBorderColor rgb="FFFF0000"/>
              <x14:axisColor rgb="FF000000"/>
            </x14:dataBar>
          </x14:cfRule>
          <xm:sqref>AI40:AI42</xm:sqref>
        </x14:conditionalFormatting>
        <x14:conditionalFormatting xmlns:xm="http://schemas.microsoft.com/office/excel/2006/main">
          <x14:cfRule type="dataBar" id="{3A110A48-32D2-46B7-93BB-1C1719A91B3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8F429FF-83BA-4B70-97B7-48D69B8682DC}">
            <x14:dataBar minLength="0" maxLength="100" border="1" negativeBarBorderColorSameAsPositive="0">
              <x14:cfvo type="autoMin"/>
              <x14:cfvo type="autoMax"/>
              <x14:borderColor rgb="FF63C384"/>
              <x14:negativeFillColor rgb="FFFF0000"/>
              <x14:negativeBorderColor rgb="FFFF0000"/>
              <x14:axisColor rgb="FF000000"/>
            </x14:dataBar>
          </x14:cfRule>
          <xm:sqref>AI46</xm:sqref>
        </x14:conditionalFormatting>
        <x14:conditionalFormatting xmlns:xm="http://schemas.microsoft.com/office/excel/2006/main">
          <x14:cfRule type="dataBar" id="{A937C731-C95B-49AB-AA21-C5732841EE2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4D7A021-4936-4C5D-99A6-D141E1B1BA8B}">
            <x14:dataBar minLength="0" maxLength="100" border="1" negativeBarBorderColorSameAsPositive="0">
              <x14:cfvo type="autoMin"/>
              <x14:cfvo type="autoMax"/>
              <x14:borderColor rgb="FF63C384"/>
              <x14:negativeFillColor rgb="FFFF0000"/>
              <x14:negativeBorderColor rgb="FFFF0000"/>
              <x14:axisColor rgb="FF000000"/>
            </x14:dataBar>
          </x14:cfRule>
          <xm:sqref>AI47:AI48</xm:sqref>
        </x14:conditionalFormatting>
        <x14:conditionalFormatting xmlns:xm="http://schemas.microsoft.com/office/excel/2006/main">
          <x14:cfRule type="dataBar" id="{87A8CCB7-FCEB-455F-A721-BA8CDFB1E19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D17B33D-7F7F-44C6-BADB-D13D5EDAD667}">
            <x14:dataBar minLength="0" maxLength="100" border="1" negativeBarBorderColorSameAsPositive="0">
              <x14:cfvo type="autoMin"/>
              <x14:cfvo type="autoMax"/>
              <x14:borderColor rgb="FF63C384"/>
              <x14:negativeFillColor rgb="FFFF0000"/>
              <x14:negativeBorderColor rgb="FFFF0000"/>
              <x14:axisColor rgb="FF000000"/>
            </x14:dataBar>
          </x14:cfRule>
          <xm:sqref>AQ4</xm:sqref>
        </x14:conditionalFormatting>
        <x14:conditionalFormatting xmlns:xm="http://schemas.microsoft.com/office/excel/2006/main">
          <x14:cfRule type="dataBar" id="{D58E6E07-00BF-4690-96F7-F6D2728ABEA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4362EC2-72D1-4ECB-8E3B-62054CFEE6DC}">
            <x14:dataBar minLength="0" maxLength="100" border="1" negativeBarBorderColorSameAsPositive="0">
              <x14:cfvo type="autoMin"/>
              <x14:cfvo type="autoMax"/>
              <x14:borderColor rgb="FF63C384"/>
              <x14:negativeFillColor rgb="FFFF0000"/>
              <x14:negativeBorderColor rgb="FFFF0000"/>
              <x14:axisColor rgb="FF000000"/>
            </x14:dataBar>
          </x14:cfRule>
          <xm:sqref>AQ5:AQ14</xm:sqref>
        </x14:conditionalFormatting>
        <x14:conditionalFormatting xmlns:xm="http://schemas.microsoft.com/office/excel/2006/main">
          <x14:cfRule type="dataBar" id="{97EB281F-C515-4FBA-A3A9-C1A123991CF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9D3E760-19AB-4F79-92D9-F0F74F34C1C5}">
            <x14:dataBar minLength="0" maxLength="100" border="1" negativeBarBorderColorSameAsPositive="0">
              <x14:cfvo type="autoMin"/>
              <x14:cfvo type="autoMax"/>
              <x14:borderColor rgb="FF63C384"/>
              <x14:negativeFillColor rgb="FFFF0000"/>
              <x14:negativeBorderColor rgb="FFFF0000"/>
              <x14:axisColor rgb="FF000000"/>
            </x14:dataBar>
          </x14:cfRule>
          <xm:sqref>AQ18:AQ23</xm:sqref>
        </x14:conditionalFormatting>
        <x14:conditionalFormatting xmlns:xm="http://schemas.microsoft.com/office/excel/2006/main">
          <x14:cfRule type="dataBar" id="{5BB19304-A89F-404B-BB5D-A76A380B0D7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22F1818-22FA-4B43-A2EB-D2179F6CF9C7}">
            <x14:dataBar minLength="0" maxLength="100" border="1" negativeBarBorderColorSameAsPositive="0">
              <x14:cfvo type="autoMin"/>
              <x14:cfvo type="autoMax"/>
              <x14:borderColor rgb="FF63C384"/>
              <x14:negativeFillColor rgb="FFFF0000"/>
              <x14:negativeBorderColor rgb="FFFF0000"/>
              <x14:axisColor rgb="FF000000"/>
            </x14:dataBar>
          </x14:cfRule>
          <xm:sqref>AQ27</xm:sqref>
        </x14:conditionalFormatting>
        <x14:conditionalFormatting xmlns:xm="http://schemas.microsoft.com/office/excel/2006/main">
          <x14:cfRule type="dataBar" id="{59430360-AFE2-4E09-A4A2-752A803A0F06}">
            <x14:dataBar minLength="0" maxLength="100" border="1" negativeBarBorderColorSameAsPositive="0">
              <x14:cfvo type="autoMin"/>
              <x14:cfvo type="autoMax"/>
              <x14:borderColor rgb="FF63C384"/>
              <x14:negativeFillColor rgb="FFFF0000"/>
              <x14:negativeBorderColor rgb="FFFF0000"/>
              <x14:axisColor rgb="FF000000"/>
            </x14:dataBar>
          </x14:cfRule>
          <xm:sqref>AQ28:AQ30</xm:sqref>
        </x14:conditionalFormatting>
        <x14:conditionalFormatting xmlns:xm="http://schemas.microsoft.com/office/excel/2006/main">
          <x14:cfRule type="dataBar" id="{CD93D381-8E79-45F9-846A-E1E5318D119B}">
            <x14:dataBar minLength="0" maxLength="100" border="1" negativeBarBorderColorSameAsPositive="0">
              <x14:cfvo type="autoMin"/>
              <x14:cfvo type="autoMax"/>
              <x14:borderColor rgb="FF63C384"/>
              <x14:negativeFillColor rgb="FFFF0000"/>
              <x14:negativeBorderColor rgb="FFFF0000"/>
              <x14:axisColor rgb="FF000000"/>
            </x14:dataBar>
          </x14:cfRule>
          <xm:sqref>AQ28:AQ31</xm:sqref>
        </x14:conditionalFormatting>
        <x14:conditionalFormatting xmlns:xm="http://schemas.microsoft.com/office/excel/2006/main">
          <x14:cfRule type="dataBar" id="{5813A2A3-8505-4F19-836F-885C231EF8B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B28E78C-3BBD-468E-A2B9-D71227A2646B}">
            <x14:dataBar minLength="0" maxLength="100" border="1" negativeBarBorderColorSameAsPositive="0">
              <x14:cfvo type="autoMin"/>
              <x14:cfvo type="autoMax"/>
              <x14:borderColor rgb="FF63C384"/>
              <x14:negativeFillColor rgb="FFFF0000"/>
              <x14:negativeBorderColor rgb="FFFF0000"/>
              <x14:axisColor rgb="FF000000"/>
            </x14:dataBar>
          </x14:cfRule>
          <xm:sqref>AQ34</xm:sqref>
        </x14:conditionalFormatting>
        <x14:conditionalFormatting xmlns:xm="http://schemas.microsoft.com/office/excel/2006/main">
          <x14:cfRule type="dataBar" id="{649BC105-C686-44F9-B589-1EDC54AAB39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C689221-094F-4793-81C8-A073EE2E7153}">
            <x14:dataBar minLength="0" maxLength="100" border="1" negativeBarBorderColorSameAsPositive="0">
              <x14:cfvo type="autoMin"/>
              <x14:cfvo type="autoMax"/>
              <x14:borderColor rgb="FF63C384"/>
              <x14:negativeFillColor rgb="FFFF0000"/>
              <x14:negativeBorderColor rgb="FFFF0000"/>
              <x14:axisColor rgb="FF000000"/>
            </x14:dataBar>
          </x14:cfRule>
          <xm:sqref>AQ35</xm:sqref>
        </x14:conditionalFormatting>
        <x14:conditionalFormatting xmlns:xm="http://schemas.microsoft.com/office/excel/2006/main">
          <x14:cfRule type="dataBar" id="{D4B5B0C2-8E1F-4914-B2D4-D332616CA9E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9E34CA0-946E-46D6-AD47-8801017C8EA6}">
            <x14:dataBar minLength="0" maxLength="100" border="1" negativeBarBorderColorSameAsPositive="0">
              <x14:cfvo type="autoMin"/>
              <x14:cfvo type="autoMax"/>
              <x14:borderColor rgb="FF63C384"/>
              <x14:negativeFillColor rgb="FFFF0000"/>
              <x14:negativeBorderColor rgb="FFFF0000"/>
              <x14:axisColor rgb="FF000000"/>
            </x14:dataBar>
          </x14:cfRule>
          <xm:sqref>AQ39</xm:sqref>
        </x14:conditionalFormatting>
        <x14:conditionalFormatting xmlns:xm="http://schemas.microsoft.com/office/excel/2006/main">
          <x14:cfRule type="dataBar" id="{2C72C676-0776-47D3-990D-E009E605A4F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5028AE2-F519-40B8-9B83-03182D8B4376}">
            <x14:dataBar minLength="0" maxLength="100" border="1" negativeBarBorderColorSameAsPositive="0">
              <x14:cfvo type="autoMin"/>
              <x14:cfvo type="autoMax"/>
              <x14:borderColor rgb="FF63C384"/>
              <x14:negativeFillColor rgb="FFFF0000"/>
              <x14:negativeBorderColor rgb="FFFF0000"/>
              <x14:axisColor rgb="FF000000"/>
            </x14:dataBar>
          </x14:cfRule>
          <xm:sqref>AQ40:AQ42</xm:sqref>
        </x14:conditionalFormatting>
        <x14:conditionalFormatting xmlns:xm="http://schemas.microsoft.com/office/excel/2006/main">
          <x14:cfRule type="dataBar" id="{8F632452-321C-4411-B447-465419B57EA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8DA7C10-8063-4ECE-B69C-2D4EBDC4F505}">
            <x14:dataBar minLength="0" maxLength="100" border="1" negativeBarBorderColorSameAsPositive="0">
              <x14:cfvo type="autoMin"/>
              <x14:cfvo type="autoMax"/>
              <x14:borderColor rgb="FF63C384"/>
              <x14:negativeFillColor rgb="FFFF0000"/>
              <x14:negativeBorderColor rgb="FFFF0000"/>
              <x14:axisColor rgb="FF000000"/>
            </x14:dataBar>
          </x14:cfRule>
          <xm:sqref>AQ46</xm:sqref>
        </x14:conditionalFormatting>
        <x14:conditionalFormatting xmlns:xm="http://schemas.microsoft.com/office/excel/2006/main">
          <x14:cfRule type="dataBar" id="{D6F2B750-AC3A-49F7-8634-BFE94E8D155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CF98E22-860C-4B9B-A6FB-8181F67530E3}">
            <x14:dataBar minLength="0" maxLength="100" border="1" negativeBarBorderColorSameAsPositive="0">
              <x14:cfvo type="autoMin"/>
              <x14:cfvo type="autoMax"/>
              <x14:borderColor rgb="FF63C384"/>
              <x14:negativeFillColor rgb="FFFF0000"/>
              <x14:negativeBorderColor rgb="FFFF0000"/>
              <x14:axisColor rgb="FF000000"/>
            </x14:dataBar>
          </x14:cfRule>
          <xm:sqref>AQ47:AQ48</xm:sqref>
        </x14:conditionalFormatting>
        <x14:conditionalFormatting xmlns:xm="http://schemas.microsoft.com/office/excel/2006/main">
          <x14:cfRule type="dataBar" id="{64AB13BB-CACB-44A0-A15B-64498ADF7DD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949830C-7CC7-4004-A7FC-680A9AFD32BF}">
            <x14:dataBar minLength="0" maxLength="100" border="1" negativeBarBorderColorSameAsPositive="0">
              <x14:cfvo type="autoMin"/>
              <x14:cfvo type="autoMax"/>
              <x14:borderColor rgb="FF63C384"/>
              <x14:negativeFillColor rgb="FFFF0000"/>
              <x14:negativeBorderColor rgb="FFFF0000"/>
              <x14:axisColor rgb="FF000000"/>
            </x14:dataBar>
          </x14:cfRule>
          <xm:sqref>AY4</xm:sqref>
        </x14:conditionalFormatting>
        <x14:conditionalFormatting xmlns:xm="http://schemas.microsoft.com/office/excel/2006/main">
          <x14:cfRule type="dataBar" id="{C74B4738-E74A-4A72-AD64-CA2D5FEDCA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467C094-893B-4F9D-9840-A989C9AE4251}">
            <x14:dataBar minLength="0" maxLength="100" border="1" negativeBarBorderColorSameAsPositive="0">
              <x14:cfvo type="autoMin"/>
              <x14:cfvo type="autoMax"/>
              <x14:borderColor rgb="FF63C384"/>
              <x14:negativeFillColor rgb="FFFF0000"/>
              <x14:negativeBorderColor rgb="FFFF0000"/>
              <x14:axisColor rgb="FF000000"/>
            </x14:dataBar>
          </x14:cfRule>
          <xm:sqref>AY5:AY14</xm:sqref>
        </x14:conditionalFormatting>
        <x14:conditionalFormatting xmlns:xm="http://schemas.microsoft.com/office/excel/2006/main">
          <x14:cfRule type="dataBar" id="{691DF3B2-140A-4999-B3B2-06A79F7B608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76FD2AD-F64D-45B6-9D95-7AE6BF5EC88A}">
            <x14:dataBar minLength="0" maxLength="100" border="1" negativeBarBorderColorSameAsPositive="0">
              <x14:cfvo type="autoMin"/>
              <x14:cfvo type="autoMax"/>
              <x14:borderColor rgb="FF63C384"/>
              <x14:negativeFillColor rgb="FFFF0000"/>
              <x14:negativeBorderColor rgb="FFFF0000"/>
              <x14:axisColor rgb="FF000000"/>
            </x14:dataBar>
          </x14:cfRule>
          <xm:sqref>AY18</xm:sqref>
        </x14:conditionalFormatting>
        <x14:conditionalFormatting xmlns:xm="http://schemas.microsoft.com/office/excel/2006/main">
          <x14:cfRule type="dataBar" id="{A0D8E557-0E0E-4DD0-82FC-28217E9FA7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768B5C4-5557-496D-954D-16D13C5751FF}">
            <x14:dataBar minLength="0" maxLength="100" border="1" negativeBarBorderColorSameAsPositive="0">
              <x14:cfvo type="autoMin"/>
              <x14:cfvo type="autoMax"/>
              <x14:borderColor rgb="FF63C384"/>
              <x14:negativeFillColor rgb="FFFF0000"/>
              <x14:negativeBorderColor rgb="FFFF0000"/>
              <x14:axisColor rgb="FF000000"/>
            </x14:dataBar>
          </x14:cfRule>
          <xm:sqref>AY19:AY23</xm:sqref>
        </x14:conditionalFormatting>
        <x14:conditionalFormatting xmlns:xm="http://schemas.microsoft.com/office/excel/2006/main">
          <x14:cfRule type="dataBar" id="{777B5DB6-DE0F-4B21-8DCB-2CCFA08BD1F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6C768BC-DE64-4181-8BDA-7A6744E3BE74}">
            <x14:dataBar minLength="0" maxLength="100" border="1" negativeBarBorderColorSameAsPositive="0">
              <x14:cfvo type="autoMin"/>
              <x14:cfvo type="autoMax"/>
              <x14:borderColor rgb="FF63C384"/>
              <x14:negativeFillColor rgb="FFFF0000"/>
              <x14:negativeBorderColor rgb="FFFF0000"/>
              <x14:axisColor rgb="FF000000"/>
            </x14:dataBar>
          </x14:cfRule>
          <xm:sqref>AY27</xm:sqref>
        </x14:conditionalFormatting>
        <x14:conditionalFormatting xmlns:xm="http://schemas.microsoft.com/office/excel/2006/main">
          <x14:cfRule type="dataBar" id="{6AD1C0EC-2050-4136-8CD4-918F9F2E8901}">
            <x14:dataBar minLength="0" maxLength="100" border="1" negativeBarBorderColorSameAsPositive="0">
              <x14:cfvo type="autoMin"/>
              <x14:cfvo type="autoMax"/>
              <x14:borderColor rgb="FF63C384"/>
              <x14:negativeFillColor rgb="FFFF0000"/>
              <x14:negativeBorderColor rgb="FFFF0000"/>
              <x14:axisColor rgb="FF000000"/>
            </x14:dataBar>
          </x14:cfRule>
          <xm:sqref>AY28:AY30</xm:sqref>
        </x14:conditionalFormatting>
        <x14:conditionalFormatting xmlns:xm="http://schemas.microsoft.com/office/excel/2006/main">
          <x14:cfRule type="dataBar" id="{27405D29-1039-4CD1-B52A-56A2F462C5C5}">
            <x14:dataBar minLength="0" maxLength="100" border="1" negativeBarBorderColorSameAsPositive="0">
              <x14:cfvo type="autoMin"/>
              <x14:cfvo type="autoMax"/>
              <x14:borderColor rgb="FF63C384"/>
              <x14:negativeFillColor rgb="FFFF0000"/>
              <x14:negativeBorderColor rgb="FFFF0000"/>
              <x14:axisColor rgb="FF000000"/>
            </x14:dataBar>
          </x14:cfRule>
          <xm:sqref>AY28:AY31</xm:sqref>
        </x14:conditionalFormatting>
        <x14:conditionalFormatting xmlns:xm="http://schemas.microsoft.com/office/excel/2006/main">
          <x14:cfRule type="dataBar" id="{B1F08AAA-DA19-4084-8A15-C51957E4481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3EC746-172A-496C-B811-89CB1BE3F47D}">
            <x14:dataBar minLength="0" maxLength="100" border="1" negativeBarBorderColorSameAsPositive="0">
              <x14:cfvo type="autoMin"/>
              <x14:cfvo type="autoMax"/>
              <x14:borderColor rgb="FF63C384"/>
              <x14:negativeFillColor rgb="FFFF0000"/>
              <x14:negativeBorderColor rgb="FFFF0000"/>
              <x14:axisColor rgb="FF000000"/>
            </x14:dataBar>
          </x14:cfRule>
          <xm:sqref>AY34</xm:sqref>
        </x14:conditionalFormatting>
        <x14:conditionalFormatting xmlns:xm="http://schemas.microsoft.com/office/excel/2006/main">
          <x14:cfRule type="dataBar" id="{F62DE71E-8D32-42BB-8F3A-58D68868A60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8BA4B0E-F412-4F79-AF42-5D1D8C5B1868}">
            <x14:dataBar minLength="0" maxLength="100" border="1" negativeBarBorderColorSameAsPositive="0">
              <x14:cfvo type="autoMin"/>
              <x14:cfvo type="autoMax"/>
              <x14:borderColor rgb="FF63C384"/>
              <x14:negativeFillColor rgb="FFFF0000"/>
              <x14:negativeBorderColor rgb="FFFF0000"/>
              <x14:axisColor rgb="FF000000"/>
            </x14:dataBar>
          </x14:cfRule>
          <xm:sqref>AY35</xm:sqref>
        </x14:conditionalFormatting>
        <x14:conditionalFormatting xmlns:xm="http://schemas.microsoft.com/office/excel/2006/main">
          <x14:cfRule type="dataBar" id="{B8603C60-6325-4901-A597-0B0C46E5431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40549C7-FFB8-435E-A7FC-F55D15E1C505}">
            <x14:dataBar minLength="0" maxLength="100" border="1" negativeBarBorderColorSameAsPositive="0">
              <x14:cfvo type="autoMin"/>
              <x14:cfvo type="autoMax"/>
              <x14:borderColor rgb="FF63C384"/>
              <x14:negativeFillColor rgb="FFFF0000"/>
              <x14:negativeBorderColor rgb="FFFF0000"/>
              <x14:axisColor rgb="FF000000"/>
            </x14:dataBar>
          </x14:cfRule>
          <xm:sqref>AY39</xm:sqref>
        </x14:conditionalFormatting>
        <x14:conditionalFormatting xmlns:xm="http://schemas.microsoft.com/office/excel/2006/main">
          <x14:cfRule type="dataBar" id="{9B7C8E1C-48D9-4C67-B1C9-865B0192157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11F5E62-DD75-4783-8E50-F7C3A000101E}">
            <x14:dataBar minLength="0" maxLength="100" border="1" negativeBarBorderColorSameAsPositive="0">
              <x14:cfvo type="autoMin"/>
              <x14:cfvo type="autoMax"/>
              <x14:borderColor rgb="FF63C384"/>
              <x14:negativeFillColor rgb="FFFF0000"/>
              <x14:negativeBorderColor rgb="FFFF0000"/>
              <x14:axisColor rgb="FF000000"/>
            </x14:dataBar>
          </x14:cfRule>
          <xm:sqref>AY40:AY42</xm:sqref>
        </x14:conditionalFormatting>
        <x14:conditionalFormatting xmlns:xm="http://schemas.microsoft.com/office/excel/2006/main">
          <x14:cfRule type="dataBar" id="{494D8596-66AC-456E-A3A8-EF386650C31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DB6B45-EDB3-4A11-9063-AA97F265E5A7}">
            <x14:dataBar minLength="0" maxLength="100" border="1" negativeBarBorderColorSameAsPositive="0">
              <x14:cfvo type="autoMin"/>
              <x14:cfvo type="autoMax"/>
              <x14:borderColor rgb="FF63C384"/>
              <x14:negativeFillColor rgb="FFFF0000"/>
              <x14:negativeBorderColor rgb="FFFF0000"/>
              <x14:axisColor rgb="FF000000"/>
            </x14:dataBar>
          </x14:cfRule>
          <xm:sqref>AY46</xm:sqref>
        </x14:conditionalFormatting>
        <x14:conditionalFormatting xmlns:xm="http://schemas.microsoft.com/office/excel/2006/main">
          <x14:cfRule type="dataBar" id="{AE02EB93-16B1-42A7-80A9-9EF285013B1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8C6A53E-1A8B-4132-8CD7-F80A5096EC67}">
            <x14:dataBar minLength="0" maxLength="100" border="1" negativeBarBorderColorSameAsPositive="0">
              <x14:cfvo type="autoMin"/>
              <x14:cfvo type="autoMax"/>
              <x14:borderColor rgb="FF63C384"/>
              <x14:negativeFillColor rgb="FFFF0000"/>
              <x14:negativeBorderColor rgb="FFFF0000"/>
              <x14:axisColor rgb="FF000000"/>
            </x14:dataBar>
          </x14:cfRule>
          <xm:sqref>AY47:AY48</xm:sqref>
        </x14:conditionalFormatting>
        <x14:conditionalFormatting xmlns:xm="http://schemas.microsoft.com/office/excel/2006/main">
          <x14:cfRule type="dataBar" id="{1689FCB3-6301-421A-A943-1A353A6EDD0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A0EF77F-9DEC-4606-9146-DBC961647B09}">
            <x14:dataBar minLength="0" maxLength="100" border="1" negativeBarBorderColorSameAsPositive="0">
              <x14:cfvo type="autoMin"/>
              <x14:cfvo type="autoMax"/>
              <x14:borderColor rgb="FF63C384"/>
              <x14:negativeFillColor rgb="FFFF0000"/>
              <x14:negativeBorderColor rgb="FFFF0000"/>
              <x14:axisColor rgb="FF000000"/>
            </x14:dataBar>
          </x14:cfRule>
          <xm:sqref>BH34:BH35</xm:sqref>
        </x14:conditionalFormatting>
        <x14:conditionalFormatting xmlns:xm="http://schemas.microsoft.com/office/excel/2006/main">
          <x14:cfRule type="dataBar" id="{2E71795F-9EAD-485F-AC0E-A70B8AB7537D}">
            <x14:dataBar minLength="0" maxLength="100" border="1" negativeBarBorderColorSameAsPositive="0">
              <x14:cfvo type="autoMin"/>
              <x14:cfvo type="autoMax"/>
              <x14:borderColor rgb="FF63C384"/>
              <x14:negativeFillColor rgb="FFFF0000"/>
              <x14:negativeBorderColor rgb="FFFF0000"/>
              <x14:axisColor rgb="FF000000"/>
            </x14:dataBar>
          </x14:cfRule>
          <xm:sqref>BH4:BI14</xm:sqref>
        </x14:conditionalFormatting>
        <x14:conditionalFormatting xmlns:xm="http://schemas.microsoft.com/office/excel/2006/main">
          <x14:cfRule type="dataBar" id="{D33D9D24-97C7-4741-B50B-36A44A1C6625}">
            <x14:dataBar minLength="0" maxLength="100" border="1" negativeBarBorderColorSameAsPositive="0">
              <x14:cfvo type="autoMin"/>
              <x14:cfvo type="autoMax"/>
              <x14:borderColor rgb="FF63C384"/>
              <x14:negativeFillColor rgb="FFFF0000"/>
              <x14:negativeBorderColor rgb="FFFF0000"/>
              <x14:axisColor rgb="FF000000"/>
            </x14:dataBar>
          </x14:cfRule>
          <xm:sqref>BH18:BI23</xm:sqref>
        </x14:conditionalFormatting>
        <x14:conditionalFormatting xmlns:xm="http://schemas.microsoft.com/office/excel/2006/main">
          <x14:cfRule type="dataBar" id="{2775FB5D-1109-4EEA-902E-B16B6ACC276D}">
            <x14:dataBar minLength="0" maxLength="100" border="1" negativeBarBorderColorSameAsPositive="0">
              <x14:cfvo type="autoMin"/>
              <x14:cfvo type="autoMax"/>
              <x14:borderColor rgb="FF63C384"/>
              <x14:negativeFillColor rgb="FFFF0000"/>
              <x14:negativeBorderColor rgb="FFFF0000"/>
              <x14:axisColor rgb="FF000000"/>
            </x14:dataBar>
          </x14:cfRule>
          <xm:sqref>BH27:BI31</xm:sqref>
        </x14:conditionalFormatting>
        <x14:conditionalFormatting xmlns:xm="http://schemas.microsoft.com/office/excel/2006/main">
          <x14:cfRule type="dataBar" id="{1D9FAD72-C1DC-4BDF-809F-F0E5282BF3A2}">
            <x14:dataBar minLength="0" maxLength="100" border="1" negativeBarBorderColorSameAsPositive="0">
              <x14:cfvo type="autoMin"/>
              <x14:cfvo type="autoMax"/>
              <x14:borderColor rgb="FF63C384"/>
              <x14:negativeFillColor rgb="FFFF0000"/>
              <x14:negativeBorderColor rgb="FFFF0000"/>
              <x14:axisColor rgb="FF000000"/>
            </x14:dataBar>
          </x14:cfRule>
          <xm:sqref>BH39:BI42</xm:sqref>
        </x14:conditionalFormatting>
        <x14:conditionalFormatting xmlns:xm="http://schemas.microsoft.com/office/excel/2006/main">
          <x14:cfRule type="dataBar" id="{57145ACE-9BBA-4122-9D39-91504BF4A1C1}">
            <x14:dataBar minLength="0" maxLength="100" border="1" negativeBarBorderColorSameAsPositive="0">
              <x14:cfvo type="autoMin"/>
              <x14:cfvo type="autoMax"/>
              <x14:borderColor rgb="FF63C384"/>
              <x14:negativeFillColor rgb="FFFF0000"/>
              <x14:negativeBorderColor rgb="FFFF0000"/>
              <x14:axisColor rgb="FF000000"/>
            </x14:dataBar>
          </x14:cfRule>
          <xm:sqref>BH46:BI48</xm:sqref>
        </x14:conditionalFormatting>
        <x14:conditionalFormatting xmlns:xm="http://schemas.microsoft.com/office/excel/2006/main">
          <x14:cfRule type="dataBar" id="{158C2F9B-B267-4E8F-8B66-F66D2BB4541D}">
            <x14:dataBar minLength="0" maxLength="100" border="1" negativeBarBorderColorSameAsPositive="0">
              <x14:cfvo type="autoMin"/>
              <x14:cfvo type="autoMax"/>
              <x14:borderColor rgb="FF63C384"/>
              <x14:negativeFillColor rgb="FFFF0000"/>
              <x14:negativeBorderColor rgb="FFFF0000"/>
              <x14:axisColor rgb="FF000000"/>
            </x14:dataBar>
          </x14:cfRule>
          <xm:sqref>BI34:BI35</xm:sqref>
        </x14:conditionalFormatting>
        <x14:conditionalFormatting xmlns:xm="http://schemas.microsoft.com/office/excel/2006/main">
          <x14:cfRule type="dataBar" id="{38929549-7B5D-47F5-ACD1-A1A969827C0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B3CF0FD-EA95-42F1-8207-7D23300D5FB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E022B61-CD16-4AB4-9330-AB18D3BC5041}">
            <x14:dataBar minLength="0" maxLength="100" border="1" negativeBarBorderColorSameAsPositive="0">
              <x14:cfvo type="autoMin"/>
              <x14:cfvo type="autoMax"/>
              <x14:borderColor rgb="FF63C384"/>
              <x14:negativeFillColor rgb="FFFF0000"/>
              <x14:negativeBorderColor rgb="FFFF0000"/>
              <x14:axisColor rgb="FF000000"/>
            </x14:dataBar>
          </x14:cfRule>
          <xm:sqref>BP4:BP14</xm:sqref>
        </x14:conditionalFormatting>
        <x14:conditionalFormatting xmlns:xm="http://schemas.microsoft.com/office/excel/2006/main">
          <x14:cfRule type="dataBar" id="{D891B922-E38D-4AB4-B0E2-449D750779BE}">
            <x14:dataBar minLength="0" maxLength="100" border="1" negativeBarBorderColorSameAsPositive="0">
              <x14:cfvo type="autoMin"/>
              <x14:cfvo type="autoMax"/>
              <x14:borderColor rgb="FF63C384"/>
              <x14:negativeFillColor rgb="FFFF0000"/>
              <x14:negativeBorderColor rgb="FFFF0000"/>
              <x14:axisColor rgb="FF000000"/>
            </x14:dataBar>
          </x14:cfRule>
          <xm:sqref>BP5:BP14</xm:sqref>
        </x14:conditionalFormatting>
        <x14:conditionalFormatting xmlns:xm="http://schemas.microsoft.com/office/excel/2006/main">
          <x14:cfRule type="dataBar" id="{8710320A-6756-4847-BA5E-E0178E7768F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0022B58-BA1E-440F-AD2A-294A06B1B6C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91E821C-E79E-4FF1-952B-B751E0ED1067}">
            <x14:dataBar minLength="0" maxLength="100" border="1" negativeBarBorderColorSameAsPositive="0">
              <x14:cfvo type="autoMin"/>
              <x14:cfvo type="autoMax"/>
              <x14:borderColor rgb="FF63C384"/>
              <x14:negativeFillColor rgb="FFFF0000"/>
              <x14:negativeBorderColor rgb="FFFF0000"/>
              <x14:axisColor rgb="FF000000"/>
            </x14:dataBar>
          </x14:cfRule>
          <xm:sqref>BP18:BP23</xm:sqref>
        </x14:conditionalFormatting>
        <x14:conditionalFormatting xmlns:xm="http://schemas.microsoft.com/office/excel/2006/main">
          <x14:cfRule type="dataBar" id="{AAE43D90-DD5C-4156-B611-A65C94F62F98}">
            <x14:dataBar minLength="0" maxLength="100" border="1" negativeBarBorderColorSameAsPositive="0">
              <x14:cfvo type="autoMin"/>
              <x14:cfvo type="autoMax"/>
              <x14:borderColor rgb="FF63C384"/>
              <x14:negativeFillColor rgb="FFFF0000"/>
              <x14:negativeBorderColor rgb="FFFF0000"/>
              <x14:axisColor rgb="FF000000"/>
            </x14:dataBar>
          </x14:cfRule>
          <xm:sqref>BP19:BP23</xm:sqref>
        </x14:conditionalFormatting>
        <x14:conditionalFormatting xmlns:xm="http://schemas.microsoft.com/office/excel/2006/main">
          <x14:cfRule type="dataBar" id="{A3DA5EEC-F176-4D69-969A-E15FC25105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A555925-744E-4627-94AC-37FE64BE9F71}">
            <x14:dataBar minLength="0" maxLength="100" border="1" negativeBarBorderColorSameAsPositive="0">
              <x14:cfvo type="autoMin"/>
              <x14:cfvo type="autoMax"/>
              <x14:borderColor rgb="FF63C384"/>
              <x14:negativeFillColor rgb="FFFF0000"/>
              <x14:negativeBorderColor rgb="FFFF0000"/>
              <x14:axisColor rgb="FF000000"/>
            </x14:dataBar>
          </x14:cfRule>
          <xm:sqref>BP27:BP30</xm:sqref>
        </x14:conditionalFormatting>
        <x14:conditionalFormatting xmlns:xm="http://schemas.microsoft.com/office/excel/2006/main">
          <x14:cfRule type="dataBar" id="{8EBEC40A-A74C-4EE3-B057-D47EB93726E9}">
            <x14:dataBar minLength="0" maxLength="100" border="1" negativeBarBorderColorSameAsPositive="0">
              <x14:cfvo type="autoMin"/>
              <x14:cfvo type="autoMax"/>
              <x14:borderColor rgb="FF63C384"/>
              <x14:negativeFillColor rgb="FFFF0000"/>
              <x14:negativeBorderColor rgb="FFFF0000"/>
              <x14:axisColor rgb="FF000000"/>
            </x14:dataBar>
          </x14:cfRule>
          <xm:sqref>BP27:BP31</xm:sqref>
        </x14:conditionalFormatting>
        <x14:conditionalFormatting xmlns:xm="http://schemas.microsoft.com/office/excel/2006/main">
          <x14:cfRule type="dataBar" id="{F5CEB597-7241-498F-91FF-97A8E936721F}">
            <x14:dataBar minLength="0" maxLength="100" border="1" negativeBarBorderColorSameAsPositive="0">
              <x14:cfvo type="autoMin"/>
              <x14:cfvo type="autoMax"/>
              <x14:borderColor rgb="FF63C384"/>
              <x14:negativeFillColor rgb="FFFF0000"/>
              <x14:negativeBorderColor rgb="FFFF0000"/>
              <x14:axisColor rgb="FF000000"/>
            </x14:dataBar>
          </x14:cfRule>
          <xm:sqref>BP28:BP31</xm:sqref>
        </x14:conditionalFormatting>
        <x14:conditionalFormatting xmlns:xm="http://schemas.microsoft.com/office/excel/2006/main">
          <x14:cfRule type="dataBar" id="{4CB5A86E-01A1-439C-A3CA-237484EBB92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CBA2DC2-C00F-456D-8450-5CE76FFA632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4CBD0E9-21DB-495A-9476-B90E8338904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FF4DFFA-00F5-4476-A0B9-D5871A084E29}">
            <x14:dataBar minLength="0" maxLength="100" border="1" negativeBarBorderColorSameAsPositive="0">
              <x14:cfvo type="autoMin"/>
              <x14:cfvo type="autoMax"/>
              <x14:borderColor rgb="FF63C384"/>
              <x14:negativeFillColor rgb="FFFF0000"/>
              <x14:negativeBorderColor rgb="FFFF0000"/>
              <x14:axisColor rgb="FF000000"/>
            </x14:dataBar>
          </x14:cfRule>
          <xm:sqref>BP34:BP35</xm:sqref>
        </x14:conditionalFormatting>
        <x14:conditionalFormatting xmlns:xm="http://schemas.microsoft.com/office/excel/2006/main">
          <x14:cfRule type="dataBar" id="{3183B033-CBE2-4EC2-9C6D-1CD7519C4677}">
            <x14:dataBar minLength="0" maxLength="100" border="1" negativeBarBorderColorSameAsPositive="0">
              <x14:cfvo type="autoMin"/>
              <x14:cfvo type="autoMax"/>
              <x14:borderColor rgb="FF63C384"/>
              <x14:negativeFillColor rgb="FFFF0000"/>
              <x14:negativeBorderColor rgb="FFFF0000"/>
              <x14:axisColor rgb="FF000000"/>
            </x14:dataBar>
          </x14:cfRule>
          <xm:sqref>BP35</xm:sqref>
        </x14:conditionalFormatting>
        <x14:conditionalFormatting xmlns:xm="http://schemas.microsoft.com/office/excel/2006/main">
          <x14:cfRule type="dataBar" id="{55AF9BA9-91AB-4043-AB94-6EB99D29B87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3642F14-E8E0-48FA-9258-8E44F12E31E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A7918F-8AF9-4054-BDB6-C0185316C679}">
            <x14:dataBar minLength="0" maxLength="100" border="1" negativeBarBorderColorSameAsPositive="0">
              <x14:cfvo type="autoMin"/>
              <x14:cfvo type="autoMax"/>
              <x14:borderColor rgb="FF63C384"/>
              <x14:negativeFillColor rgb="FFFF0000"/>
              <x14:negativeBorderColor rgb="FFFF0000"/>
              <x14:axisColor rgb="FF000000"/>
            </x14:dataBar>
          </x14:cfRule>
          <xm:sqref>BP39:BP42</xm:sqref>
        </x14:conditionalFormatting>
        <x14:conditionalFormatting xmlns:xm="http://schemas.microsoft.com/office/excel/2006/main">
          <x14:cfRule type="dataBar" id="{97D269B1-6CB5-4A93-A70D-DDE13392DAE4}">
            <x14:dataBar minLength="0" maxLength="100" border="1" negativeBarBorderColorSameAsPositive="0">
              <x14:cfvo type="autoMin"/>
              <x14:cfvo type="autoMax"/>
              <x14:borderColor rgb="FF63C384"/>
              <x14:negativeFillColor rgb="FFFF0000"/>
              <x14:negativeBorderColor rgb="FFFF0000"/>
              <x14:axisColor rgb="FF000000"/>
            </x14:dataBar>
          </x14:cfRule>
          <xm:sqref>BP40:BP42</xm:sqref>
        </x14:conditionalFormatting>
        <x14:conditionalFormatting xmlns:xm="http://schemas.microsoft.com/office/excel/2006/main">
          <x14:cfRule type="dataBar" id="{91F82AF6-94EA-4982-A2BA-547CCA37F03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6916468-E92A-4084-8A94-9A07825212C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2E8BCAC-C0BC-413B-9DC1-CA781DD3BB33}">
            <x14:dataBar minLength="0" maxLength="100" border="1" negativeBarBorderColorSameAsPositive="0">
              <x14:cfvo type="autoMin"/>
              <x14:cfvo type="autoMax"/>
              <x14:borderColor rgb="FF63C384"/>
              <x14:negativeFillColor rgb="FFFF0000"/>
              <x14:negativeBorderColor rgb="FFFF0000"/>
              <x14:axisColor rgb="FF000000"/>
            </x14:dataBar>
          </x14:cfRule>
          <xm:sqref>BP46:BP48</xm:sqref>
        </x14:conditionalFormatting>
        <x14:conditionalFormatting xmlns:xm="http://schemas.microsoft.com/office/excel/2006/main">
          <x14:cfRule type="dataBar" id="{7EDC08FE-BB08-46D2-B89D-A88E56894DC2}">
            <x14:dataBar minLength="0" maxLength="100" border="1" negativeBarBorderColorSameAsPositive="0">
              <x14:cfvo type="autoMin"/>
              <x14:cfvo type="autoMax"/>
              <x14:borderColor rgb="FF63C384"/>
              <x14:negativeFillColor rgb="FFFF0000"/>
              <x14:negativeBorderColor rgb="FFFF0000"/>
              <x14:axisColor rgb="FF000000"/>
            </x14:dataBar>
          </x14:cfRule>
          <xm:sqref>BP47:BP48</xm:sqref>
        </x14:conditionalFormatting>
        <x14:conditionalFormatting xmlns:xm="http://schemas.microsoft.com/office/excel/2006/main">
          <x14:cfRule type="dataBar" id="{A7F72970-61F5-4545-8C19-8A933466BD4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1CC895-0A90-4FAF-82D8-102EBCDC3B0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E04B10-62F8-460E-801C-8572940A985B}">
            <x14:dataBar minLength="0" maxLength="100" border="1" negativeBarBorderColorSameAsPositive="0">
              <x14:cfvo type="autoMin"/>
              <x14:cfvo type="autoMax"/>
              <x14:borderColor rgb="FF63C384"/>
              <x14:negativeFillColor rgb="FFFF0000"/>
              <x14:negativeBorderColor rgb="FFFF0000"/>
              <x14:axisColor rgb="FF000000"/>
            </x14:dataBar>
          </x14:cfRule>
          <xm:sqref>BW4:BW14</xm:sqref>
        </x14:conditionalFormatting>
        <x14:conditionalFormatting xmlns:xm="http://schemas.microsoft.com/office/excel/2006/main">
          <x14:cfRule type="dataBar" id="{F9F1D4E3-44D3-4786-8C7D-1324D2EABECB}">
            <x14:dataBar minLength="0" maxLength="100" border="1" negativeBarBorderColorSameAsPositive="0">
              <x14:cfvo type="autoMin"/>
              <x14:cfvo type="autoMax"/>
              <x14:borderColor rgb="FF63C384"/>
              <x14:negativeFillColor rgb="FFFF0000"/>
              <x14:negativeBorderColor rgb="FFFF0000"/>
              <x14:axisColor rgb="FF000000"/>
            </x14:dataBar>
          </x14:cfRule>
          <xm:sqref>BW5:BW14</xm:sqref>
        </x14:conditionalFormatting>
        <x14:conditionalFormatting xmlns:xm="http://schemas.microsoft.com/office/excel/2006/main">
          <x14:cfRule type="dataBar" id="{D2A4B7F1-698D-4617-833F-4C4D4D13221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E2EBAE8-3E3B-4382-844B-FB2D2B3BCE5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5BC03AC-AA60-407E-BA59-6D68CB806297}">
            <x14:dataBar minLength="0" maxLength="100" border="1" negativeBarBorderColorSameAsPositive="0">
              <x14:cfvo type="autoMin"/>
              <x14:cfvo type="autoMax"/>
              <x14:borderColor rgb="FF63C384"/>
              <x14:negativeFillColor rgb="FFFF0000"/>
              <x14:negativeBorderColor rgb="FFFF0000"/>
              <x14:axisColor rgb="FF000000"/>
            </x14:dataBar>
          </x14:cfRule>
          <xm:sqref>BW18:BW23</xm:sqref>
        </x14:conditionalFormatting>
        <x14:conditionalFormatting xmlns:xm="http://schemas.microsoft.com/office/excel/2006/main">
          <x14:cfRule type="dataBar" id="{022779B4-2450-48F5-AF51-696C229E861B}">
            <x14:dataBar minLength="0" maxLength="100" border="1" negativeBarBorderColorSameAsPositive="0">
              <x14:cfvo type="autoMin"/>
              <x14:cfvo type="autoMax"/>
              <x14:borderColor rgb="FF63C384"/>
              <x14:negativeFillColor rgb="FFFF0000"/>
              <x14:negativeBorderColor rgb="FFFF0000"/>
              <x14:axisColor rgb="FF000000"/>
            </x14:dataBar>
          </x14:cfRule>
          <xm:sqref>BW19:BW23</xm:sqref>
        </x14:conditionalFormatting>
        <x14:conditionalFormatting xmlns:xm="http://schemas.microsoft.com/office/excel/2006/main">
          <x14:cfRule type="dataBar" id="{90C61955-AE5A-4D73-8490-41EDCB9E7BE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76033CD-3C39-4664-B847-619DD12A51A4}">
            <x14:dataBar minLength="0" maxLength="100" border="1" negativeBarBorderColorSameAsPositive="0">
              <x14:cfvo type="autoMin"/>
              <x14:cfvo type="autoMax"/>
              <x14:borderColor rgb="FF63C384"/>
              <x14:negativeFillColor rgb="FFFF0000"/>
              <x14:negativeBorderColor rgb="FFFF0000"/>
              <x14:axisColor rgb="FF000000"/>
            </x14:dataBar>
          </x14:cfRule>
          <xm:sqref>BW27:BW30</xm:sqref>
        </x14:conditionalFormatting>
        <x14:conditionalFormatting xmlns:xm="http://schemas.microsoft.com/office/excel/2006/main">
          <x14:cfRule type="dataBar" id="{2F3EF280-1E6F-401E-A652-B8CA1A5F0E85}">
            <x14:dataBar minLength="0" maxLength="100" border="1" negativeBarBorderColorSameAsPositive="0">
              <x14:cfvo type="autoMin"/>
              <x14:cfvo type="autoMax"/>
              <x14:borderColor rgb="FF63C384"/>
              <x14:negativeFillColor rgb="FFFF0000"/>
              <x14:negativeBorderColor rgb="FFFF0000"/>
              <x14:axisColor rgb="FF000000"/>
            </x14:dataBar>
          </x14:cfRule>
          <xm:sqref>BW27:BW31</xm:sqref>
        </x14:conditionalFormatting>
        <x14:conditionalFormatting xmlns:xm="http://schemas.microsoft.com/office/excel/2006/main">
          <x14:cfRule type="dataBar" id="{D084E7A0-09DB-4035-8C51-9DA469D113AC}">
            <x14:dataBar minLength="0" maxLength="100" border="1" negativeBarBorderColorSameAsPositive="0">
              <x14:cfvo type="autoMin"/>
              <x14:cfvo type="autoMax"/>
              <x14:borderColor rgb="FF63C384"/>
              <x14:negativeFillColor rgb="FFFF0000"/>
              <x14:negativeBorderColor rgb="FFFF0000"/>
              <x14:axisColor rgb="FF000000"/>
            </x14:dataBar>
          </x14:cfRule>
          <xm:sqref>BW28:BW31</xm:sqref>
        </x14:conditionalFormatting>
        <x14:conditionalFormatting xmlns:xm="http://schemas.microsoft.com/office/excel/2006/main">
          <x14:cfRule type="dataBar" id="{C5F2B69C-DB58-4B15-A8E8-C364EB6AEA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24D7F30-4A69-496B-869C-92355D0B5CF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16E774A-AB31-4504-A37A-4E812A4B3E0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AC46EF4-B752-4D19-9C9A-B169BF6FC5A6}">
            <x14:dataBar minLength="0" maxLength="100" border="1" negativeBarBorderColorSameAsPositive="0">
              <x14:cfvo type="autoMin"/>
              <x14:cfvo type="autoMax"/>
              <x14:borderColor rgb="FF63C384"/>
              <x14:negativeFillColor rgb="FFFF0000"/>
              <x14:negativeBorderColor rgb="FFFF0000"/>
              <x14:axisColor rgb="FF000000"/>
            </x14:dataBar>
          </x14:cfRule>
          <xm:sqref>BW34:BW35</xm:sqref>
        </x14:conditionalFormatting>
        <x14:conditionalFormatting xmlns:xm="http://schemas.microsoft.com/office/excel/2006/main">
          <x14:cfRule type="dataBar" id="{CFD1670E-7BBF-476D-A87B-40BA03DF8514}">
            <x14:dataBar minLength="0" maxLength="100" border="1" negativeBarBorderColorSameAsPositive="0">
              <x14:cfvo type="autoMin"/>
              <x14:cfvo type="autoMax"/>
              <x14:borderColor rgb="FF63C384"/>
              <x14:negativeFillColor rgb="FFFF0000"/>
              <x14:negativeBorderColor rgb="FFFF0000"/>
              <x14:axisColor rgb="FF000000"/>
            </x14:dataBar>
          </x14:cfRule>
          <xm:sqref>BW35</xm:sqref>
        </x14:conditionalFormatting>
        <x14:conditionalFormatting xmlns:xm="http://schemas.microsoft.com/office/excel/2006/main">
          <x14:cfRule type="dataBar" id="{F0A32483-9CA0-46AA-BB16-2D46F8E8C83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881C71E-310D-4AC0-BD79-5369A297BF4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F73486C-39CC-41B6-81AB-78A31CA02B08}">
            <x14:dataBar minLength="0" maxLength="100" border="1" negativeBarBorderColorSameAsPositive="0">
              <x14:cfvo type="autoMin"/>
              <x14:cfvo type="autoMax"/>
              <x14:borderColor rgb="FF63C384"/>
              <x14:negativeFillColor rgb="FFFF0000"/>
              <x14:negativeBorderColor rgb="FFFF0000"/>
              <x14:axisColor rgb="FF000000"/>
            </x14:dataBar>
          </x14:cfRule>
          <xm:sqref>BW39:BW42</xm:sqref>
        </x14:conditionalFormatting>
        <x14:conditionalFormatting xmlns:xm="http://schemas.microsoft.com/office/excel/2006/main">
          <x14:cfRule type="dataBar" id="{C691E4FA-1086-417A-AE55-8053D7B5FADB}">
            <x14:dataBar minLength="0" maxLength="100" border="1" negativeBarBorderColorSameAsPositive="0">
              <x14:cfvo type="autoMin"/>
              <x14:cfvo type="autoMax"/>
              <x14:borderColor rgb="FF63C384"/>
              <x14:negativeFillColor rgb="FFFF0000"/>
              <x14:negativeBorderColor rgb="FFFF0000"/>
              <x14:axisColor rgb="FF000000"/>
            </x14:dataBar>
          </x14:cfRule>
          <xm:sqref>BW40:BW42</xm:sqref>
        </x14:conditionalFormatting>
        <x14:conditionalFormatting xmlns:xm="http://schemas.microsoft.com/office/excel/2006/main">
          <x14:cfRule type="dataBar" id="{F812B538-D4FA-4045-A8FF-8680046A3C7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255CDDB-31D0-4F51-BCB3-6092E75F865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18BB114-21B5-4DB4-A568-665853F617D1}">
            <x14:dataBar minLength="0" maxLength="100" border="1" negativeBarBorderColorSameAsPositive="0">
              <x14:cfvo type="autoMin"/>
              <x14:cfvo type="autoMax"/>
              <x14:borderColor rgb="FF63C384"/>
              <x14:negativeFillColor rgb="FFFF0000"/>
              <x14:negativeBorderColor rgb="FFFF0000"/>
              <x14:axisColor rgb="FF000000"/>
            </x14:dataBar>
          </x14:cfRule>
          <xm:sqref>BW46:BW48</xm:sqref>
        </x14:conditionalFormatting>
        <x14:conditionalFormatting xmlns:xm="http://schemas.microsoft.com/office/excel/2006/main">
          <x14:cfRule type="dataBar" id="{19F4565C-75DB-46D7-8594-87FB1C6E4528}">
            <x14:dataBar minLength="0" maxLength="100" border="1" negativeBarBorderColorSameAsPositive="0">
              <x14:cfvo type="autoMin"/>
              <x14:cfvo type="autoMax"/>
              <x14:borderColor rgb="FF63C384"/>
              <x14:negativeFillColor rgb="FFFF0000"/>
              <x14:negativeBorderColor rgb="FFFF0000"/>
              <x14:axisColor rgb="FF000000"/>
            </x14:dataBar>
          </x14:cfRule>
          <xm:sqref>BW47:BW48</xm:sqref>
        </x14:conditionalFormatting>
        <x14:conditionalFormatting xmlns:xm="http://schemas.microsoft.com/office/excel/2006/main">
          <x14:cfRule type="dataBar" id="{46848AD8-A3CE-43AB-B022-44970A6690D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EFD9C1F-4E1C-41B5-A8EF-100D9079C00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EBA649-B81F-4D7A-9FCF-BBC667EED1D2}">
            <x14:dataBar minLength="0" maxLength="100" border="1" negativeBarBorderColorSameAsPositive="0">
              <x14:cfvo type="autoMin"/>
              <x14:cfvo type="autoMax"/>
              <x14:borderColor rgb="FF63C384"/>
              <x14:negativeFillColor rgb="FFFF0000"/>
              <x14:negativeBorderColor rgb="FFFF0000"/>
              <x14:axisColor rgb="FF000000"/>
            </x14:dataBar>
          </x14:cfRule>
          <xm:sqref>CE4:CE14</xm:sqref>
        </x14:conditionalFormatting>
        <x14:conditionalFormatting xmlns:xm="http://schemas.microsoft.com/office/excel/2006/main">
          <x14:cfRule type="dataBar" id="{BACD2E3A-3ECB-44F0-8CAB-E09D9A1FB3DB}">
            <x14:dataBar minLength="0" maxLength="100" border="1" negativeBarBorderColorSameAsPositive="0">
              <x14:cfvo type="autoMin"/>
              <x14:cfvo type="autoMax"/>
              <x14:borderColor rgb="FF63C384"/>
              <x14:negativeFillColor rgb="FFFF0000"/>
              <x14:negativeBorderColor rgb="FFFF0000"/>
              <x14:axisColor rgb="FF000000"/>
            </x14:dataBar>
          </x14:cfRule>
          <xm:sqref>CE5:CE14</xm:sqref>
        </x14:conditionalFormatting>
        <x14:conditionalFormatting xmlns:xm="http://schemas.microsoft.com/office/excel/2006/main">
          <x14:cfRule type="dataBar" id="{F724807A-921F-4BBB-BDD6-CF97F63FF56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8A61F2-9551-44BE-BAB7-56CD202BE24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734F00A-3D4F-4E88-962E-D74549D039F6}">
            <x14:dataBar minLength="0" maxLength="100" border="1" negativeBarBorderColorSameAsPositive="0">
              <x14:cfvo type="autoMin"/>
              <x14:cfvo type="autoMax"/>
              <x14:borderColor rgb="FF63C384"/>
              <x14:negativeFillColor rgb="FFFF0000"/>
              <x14:negativeBorderColor rgb="FFFF0000"/>
              <x14:axisColor rgb="FF000000"/>
            </x14:dataBar>
          </x14:cfRule>
          <xm:sqref>CE18:CE23</xm:sqref>
        </x14:conditionalFormatting>
        <x14:conditionalFormatting xmlns:xm="http://schemas.microsoft.com/office/excel/2006/main">
          <x14:cfRule type="dataBar" id="{AB563CD3-BF6B-45F3-81BB-F844E6C47CDC}">
            <x14:dataBar minLength="0" maxLength="100" border="1" negativeBarBorderColorSameAsPositive="0">
              <x14:cfvo type="autoMin"/>
              <x14:cfvo type="autoMax"/>
              <x14:borderColor rgb="FF63C384"/>
              <x14:negativeFillColor rgb="FFFF0000"/>
              <x14:negativeBorderColor rgb="FFFF0000"/>
              <x14:axisColor rgb="FF000000"/>
            </x14:dataBar>
          </x14:cfRule>
          <xm:sqref>CE19:CE23</xm:sqref>
        </x14:conditionalFormatting>
        <x14:conditionalFormatting xmlns:xm="http://schemas.microsoft.com/office/excel/2006/main">
          <x14:cfRule type="dataBar" id="{0226B94A-9BC6-463E-8C92-2AEDA387C4A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2C0E1A1-2649-42DD-9C01-21ED48EDCE7B}">
            <x14:dataBar minLength="0" maxLength="100" border="1" negativeBarBorderColorSameAsPositive="0">
              <x14:cfvo type="autoMin"/>
              <x14:cfvo type="autoMax"/>
              <x14:borderColor rgb="FF63C384"/>
              <x14:negativeFillColor rgb="FFFF0000"/>
              <x14:negativeBorderColor rgb="FFFF0000"/>
              <x14:axisColor rgb="FF000000"/>
            </x14:dataBar>
          </x14:cfRule>
          <xm:sqref>CE27:CE30</xm:sqref>
        </x14:conditionalFormatting>
        <x14:conditionalFormatting xmlns:xm="http://schemas.microsoft.com/office/excel/2006/main">
          <x14:cfRule type="dataBar" id="{70A4E2FC-35DA-4CE0-BB87-171FA8C230FE}">
            <x14:dataBar minLength="0" maxLength="100" border="1" negativeBarBorderColorSameAsPositive="0">
              <x14:cfvo type="autoMin"/>
              <x14:cfvo type="autoMax"/>
              <x14:borderColor rgb="FF63C384"/>
              <x14:negativeFillColor rgb="FFFF0000"/>
              <x14:negativeBorderColor rgb="FFFF0000"/>
              <x14:axisColor rgb="FF000000"/>
            </x14:dataBar>
          </x14:cfRule>
          <xm:sqref>CE27:CE31</xm:sqref>
        </x14:conditionalFormatting>
        <x14:conditionalFormatting xmlns:xm="http://schemas.microsoft.com/office/excel/2006/main">
          <x14:cfRule type="dataBar" id="{097D8AD3-72C4-40BC-8AFE-E2BE6ED2CEA4}">
            <x14:dataBar minLength="0" maxLength="100" border="1" negativeBarBorderColorSameAsPositive="0">
              <x14:cfvo type="autoMin"/>
              <x14:cfvo type="autoMax"/>
              <x14:borderColor rgb="FF63C384"/>
              <x14:negativeFillColor rgb="FFFF0000"/>
              <x14:negativeBorderColor rgb="FFFF0000"/>
              <x14:axisColor rgb="FF000000"/>
            </x14:dataBar>
          </x14:cfRule>
          <xm:sqref>CE28:CE31</xm:sqref>
        </x14:conditionalFormatting>
        <x14:conditionalFormatting xmlns:xm="http://schemas.microsoft.com/office/excel/2006/main">
          <x14:cfRule type="dataBar" id="{F806B275-5DEF-4321-B02B-2B758EDE535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3094381-BB9F-4F2B-902D-9DAF7BCF036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81C8E7D-45CB-48E1-9E64-18DEE4DD06D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06F6A4C-15E0-43F5-A3D3-00511A3B6EF8}">
            <x14:dataBar minLength="0" maxLength="100" border="1" negativeBarBorderColorSameAsPositive="0">
              <x14:cfvo type="autoMin"/>
              <x14:cfvo type="autoMax"/>
              <x14:borderColor rgb="FF63C384"/>
              <x14:negativeFillColor rgb="FFFF0000"/>
              <x14:negativeBorderColor rgb="FFFF0000"/>
              <x14:axisColor rgb="FF000000"/>
            </x14:dataBar>
          </x14:cfRule>
          <xm:sqref>CE34:CE35</xm:sqref>
        </x14:conditionalFormatting>
        <x14:conditionalFormatting xmlns:xm="http://schemas.microsoft.com/office/excel/2006/main">
          <x14:cfRule type="dataBar" id="{A7FD815D-3250-4F94-BF5D-4AD94841D955}">
            <x14:dataBar minLength="0" maxLength="100" border="1" negativeBarBorderColorSameAsPositive="0">
              <x14:cfvo type="autoMin"/>
              <x14:cfvo type="autoMax"/>
              <x14:borderColor rgb="FF63C384"/>
              <x14:negativeFillColor rgb="FFFF0000"/>
              <x14:negativeBorderColor rgb="FFFF0000"/>
              <x14:axisColor rgb="FF000000"/>
            </x14:dataBar>
          </x14:cfRule>
          <xm:sqref>CE35</xm:sqref>
        </x14:conditionalFormatting>
        <x14:conditionalFormatting xmlns:xm="http://schemas.microsoft.com/office/excel/2006/main">
          <x14:cfRule type="dataBar" id="{2A4C7759-F6C1-4147-871B-B05218DE349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AA3DEC8-166E-4907-A748-48C36893175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3727A5-24CA-4145-B346-AD28A18B8C26}">
            <x14:dataBar minLength="0" maxLength="100" border="1" negativeBarBorderColorSameAsPositive="0">
              <x14:cfvo type="autoMin"/>
              <x14:cfvo type="autoMax"/>
              <x14:borderColor rgb="FF63C384"/>
              <x14:negativeFillColor rgb="FFFF0000"/>
              <x14:negativeBorderColor rgb="FFFF0000"/>
              <x14:axisColor rgb="FF000000"/>
            </x14:dataBar>
          </x14:cfRule>
          <xm:sqref>CE39:CE42</xm:sqref>
        </x14:conditionalFormatting>
        <x14:conditionalFormatting xmlns:xm="http://schemas.microsoft.com/office/excel/2006/main">
          <x14:cfRule type="dataBar" id="{3B1B91FC-D4DF-46B1-B2A7-93836EE9A6CE}">
            <x14:dataBar minLength="0" maxLength="100" border="1" negativeBarBorderColorSameAsPositive="0">
              <x14:cfvo type="autoMin"/>
              <x14:cfvo type="autoMax"/>
              <x14:borderColor rgb="FF63C384"/>
              <x14:negativeFillColor rgb="FFFF0000"/>
              <x14:negativeBorderColor rgb="FFFF0000"/>
              <x14:axisColor rgb="FF000000"/>
            </x14:dataBar>
          </x14:cfRule>
          <xm:sqref>CE40:CE42</xm:sqref>
        </x14:conditionalFormatting>
        <x14:conditionalFormatting xmlns:xm="http://schemas.microsoft.com/office/excel/2006/main">
          <x14:cfRule type="dataBar" id="{69F28ADC-CFDD-4FB7-B329-32A405CCF5E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07D47A2-0DBA-412F-A77E-31912E48472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2FEB5A2-74DB-47DF-85D8-5B26CF082F00}">
            <x14:dataBar minLength="0" maxLength="100" border="1" negativeBarBorderColorSameAsPositive="0">
              <x14:cfvo type="autoMin"/>
              <x14:cfvo type="autoMax"/>
              <x14:borderColor rgb="FF63C384"/>
              <x14:negativeFillColor rgb="FFFF0000"/>
              <x14:negativeBorderColor rgb="FFFF0000"/>
              <x14:axisColor rgb="FF000000"/>
            </x14:dataBar>
          </x14:cfRule>
          <xm:sqref>CE46:CE48</xm:sqref>
        </x14:conditionalFormatting>
        <x14:conditionalFormatting xmlns:xm="http://schemas.microsoft.com/office/excel/2006/main">
          <x14:cfRule type="dataBar" id="{BEDE2F7D-7BBB-4095-B64E-44927CB11E83}">
            <x14:dataBar minLength="0" maxLength="100" border="1" negativeBarBorderColorSameAsPositive="0">
              <x14:cfvo type="autoMin"/>
              <x14:cfvo type="autoMax"/>
              <x14:borderColor rgb="FF63C384"/>
              <x14:negativeFillColor rgb="FFFF0000"/>
              <x14:negativeBorderColor rgb="FFFF0000"/>
              <x14:axisColor rgb="FF000000"/>
            </x14:dataBar>
          </x14:cfRule>
          <xm:sqref>CE47:CE48</xm:sqref>
        </x14:conditionalFormatting>
        <x14:conditionalFormatting xmlns:xm="http://schemas.microsoft.com/office/excel/2006/main">
          <x14:cfRule type="dataBar" id="{C38C3C96-099F-479B-B4C9-6501F685883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145F6FE-69E3-4C33-84DE-E003329D075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F264E80-7A9F-4AEC-BB86-BB1D1AACDF80}">
            <x14:dataBar minLength="0" maxLength="100" border="1" negativeBarBorderColorSameAsPositive="0">
              <x14:cfvo type="autoMin"/>
              <x14:cfvo type="autoMax"/>
              <x14:borderColor rgb="FF63C384"/>
              <x14:negativeFillColor rgb="FFFF0000"/>
              <x14:negativeBorderColor rgb="FFFF0000"/>
              <x14:axisColor rgb="FF000000"/>
            </x14:dataBar>
          </x14:cfRule>
          <xm:sqref>CM4:CM14</xm:sqref>
        </x14:conditionalFormatting>
        <x14:conditionalFormatting xmlns:xm="http://schemas.microsoft.com/office/excel/2006/main">
          <x14:cfRule type="dataBar" id="{DB82B8C6-7ABA-434D-8947-C946CD8A295A}">
            <x14:dataBar minLength="0" maxLength="100" border="1" negativeBarBorderColorSameAsPositive="0">
              <x14:cfvo type="autoMin"/>
              <x14:cfvo type="autoMax"/>
              <x14:borderColor rgb="FF63C384"/>
              <x14:negativeFillColor rgb="FFFF0000"/>
              <x14:negativeBorderColor rgb="FFFF0000"/>
              <x14:axisColor rgb="FF000000"/>
            </x14:dataBar>
          </x14:cfRule>
          <xm:sqref>CM5:CM14</xm:sqref>
        </x14:conditionalFormatting>
        <x14:conditionalFormatting xmlns:xm="http://schemas.microsoft.com/office/excel/2006/main">
          <x14:cfRule type="dataBar" id="{6D33401D-69E9-4687-B2B1-CA0AC37062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84C703B-EFD1-4AC5-B1DE-C58308DFCF5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F439C21-E238-43EB-AD7C-9973B9BE4DBF}">
            <x14:dataBar minLength="0" maxLength="100" border="1" negativeBarBorderColorSameAsPositive="0">
              <x14:cfvo type="autoMin"/>
              <x14:cfvo type="autoMax"/>
              <x14:borderColor rgb="FF63C384"/>
              <x14:negativeFillColor rgb="FFFF0000"/>
              <x14:negativeBorderColor rgb="FFFF0000"/>
              <x14:axisColor rgb="FF000000"/>
            </x14:dataBar>
          </x14:cfRule>
          <xm:sqref>CM18:CM23</xm:sqref>
        </x14:conditionalFormatting>
        <x14:conditionalFormatting xmlns:xm="http://schemas.microsoft.com/office/excel/2006/main">
          <x14:cfRule type="dataBar" id="{12B677AF-CE54-4912-B6EA-5971AC9197A9}">
            <x14:dataBar minLength="0" maxLength="100" border="1" negativeBarBorderColorSameAsPositive="0">
              <x14:cfvo type="autoMin"/>
              <x14:cfvo type="autoMax"/>
              <x14:borderColor rgb="FF63C384"/>
              <x14:negativeFillColor rgb="FFFF0000"/>
              <x14:negativeBorderColor rgb="FFFF0000"/>
              <x14:axisColor rgb="FF000000"/>
            </x14:dataBar>
          </x14:cfRule>
          <xm:sqref>CM19:CM23</xm:sqref>
        </x14:conditionalFormatting>
        <x14:conditionalFormatting xmlns:xm="http://schemas.microsoft.com/office/excel/2006/main">
          <x14:cfRule type="dataBar" id="{E95C5D8A-FE17-42FD-9C44-BEB56630FE3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DDF6040-4928-4EFB-BF34-DD15F9B6B619}">
            <x14:dataBar minLength="0" maxLength="100" border="1" negativeBarBorderColorSameAsPositive="0">
              <x14:cfvo type="autoMin"/>
              <x14:cfvo type="autoMax"/>
              <x14:borderColor rgb="FF63C384"/>
              <x14:negativeFillColor rgb="FFFF0000"/>
              <x14:negativeBorderColor rgb="FFFF0000"/>
              <x14:axisColor rgb="FF000000"/>
            </x14:dataBar>
          </x14:cfRule>
          <xm:sqref>CM27:CM30</xm:sqref>
        </x14:conditionalFormatting>
        <x14:conditionalFormatting xmlns:xm="http://schemas.microsoft.com/office/excel/2006/main">
          <x14:cfRule type="dataBar" id="{0259FCCD-1E57-4AEA-B549-F0638F14440F}">
            <x14:dataBar minLength="0" maxLength="100" border="1" negativeBarBorderColorSameAsPositive="0">
              <x14:cfvo type="autoMin"/>
              <x14:cfvo type="autoMax"/>
              <x14:borderColor rgb="FF63C384"/>
              <x14:negativeFillColor rgb="FFFF0000"/>
              <x14:negativeBorderColor rgb="FFFF0000"/>
              <x14:axisColor rgb="FF000000"/>
            </x14:dataBar>
          </x14:cfRule>
          <xm:sqref>CM27:CM31</xm:sqref>
        </x14:conditionalFormatting>
        <x14:conditionalFormatting xmlns:xm="http://schemas.microsoft.com/office/excel/2006/main">
          <x14:cfRule type="dataBar" id="{9B199F83-AD48-492E-A0F9-27A00B5AEFEB}">
            <x14:dataBar minLength="0" maxLength="100" border="1" negativeBarBorderColorSameAsPositive="0">
              <x14:cfvo type="autoMin"/>
              <x14:cfvo type="autoMax"/>
              <x14:borderColor rgb="FF63C384"/>
              <x14:negativeFillColor rgb="FFFF0000"/>
              <x14:negativeBorderColor rgb="FFFF0000"/>
              <x14:axisColor rgb="FF000000"/>
            </x14:dataBar>
          </x14:cfRule>
          <xm:sqref>CM28:CM31</xm:sqref>
        </x14:conditionalFormatting>
        <x14:conditionalFormatting xmlns:xm="http://schemas.microsoft.com/office/excel/2006/main">
          <x14:cfRule type="dataBar" id="{E2895138-3310-492A-A971-006AD1BB292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D44F2A-15DE-4D1F-A80B-5C042781A21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786A805-F5AE-4AC5-990B-5B5EF1F0895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2CE93C2-5DE9-4312-8343-CF8837D46B25}">
            <x14:dataBar minLength="0" maxLength="100" border="1" negativeBarBorderColorSameAsPositive="0">
              <x14:cfvo type="autoMin"/>
              <x14:cfvo type="autoMax"/>
              <x14:borderColor rgb="FF63C384"/>
              <x14:negativeFillColor rgb="FFFF0000"/>
              <x14:negativeBorderColor rgb="FFFF0000"/>
              <x14:axisColor rgb="FF000000"/>
            </x14:dataBar>
          </x14:cfRule>
          <xm:sqref>CM34:CM35</xm:sqref>
        </x14:conditionalFormatting>
        <x14:conditionalFormatting xmlns:xm="http://schemas.microsoft.com/office/excel/2006/main">
          <x14:cfRule type="dataBar" id="{1FEEA2A4-A8B5-4100-B01A-CEBA90B7AB2F}">
            <x14:dataBar minLength="0" maxLength="100" border="1" negativeBarBorderColorSameAsPositive="0">
              <x14:cfvo type="autoMin"/>
              <x14:cfvo type="autoMax"/>
              <x14:borderColor rgb="FF63C384"/>
              <x14:negativeFillColor rgb="FFFF0000"/>
              <x14:negativeBorderColor rgb="FFFF0000"/>
              <x14:axisColor rgb="FF000000"/>
            </x14:dataBar>
          </x14:cfRule>
          <xm:sqref>CM35</xm:sqref>
        </x14:conditionalFormatting>
        <x14:conditionalFormatting xmlns:xm="http://schemas.microsoft.com/office/excel/2006/main">
          <x14:cfRule type="dataBar" id="{A48C93E7-E61D-43DA-95BA-062D083A5A6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B155DD-46BB-4184-9062-026F776DEBD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AE9F50F-5040-4F8C-9524-D0291690F11A}">
            <x14:dataBar minLength="0" maxLength="100" border="1" negativeBarBorderColorSameAsPositive="0">
              <x14:cfvo type="autoMin"/>
              <x14:cfvo type="autoMax"/>
              <x14:borderColor rgb="FF63C384"/>
              <x14:negativeFillColor rgb="FFFF0000"/>
              <x14:negativeBorderColor rgb="FFFF0000"/>
              <x14:axisColor rgb="FF000000"/>
            </x14:dataBar>
          </x14:cfRule>
          <xm:sqref>CM39:CM42</xm:sqref>
        </x14:conditionalFormatting>
        <x14:conditionalFormatting xmlns:xm="http://schemas.microsoft.com/office/excel/2006/main">
          <x14:cfRule type="dataBar" id="{7CE26638-AAEF-4836-9DA4-C6125AA0C683}">
            <x14:dataBar minLength="0" maxLength="100" border="1" negativeBarBorderColorSameAsPositive="0">
              <x14:cfvo type="autoMin"/>
              <x14:cfvo type="autoMax"/>
              <x14:borderColor rgb="FF63C384"/>
              <x14:negativeFillColor rgb="FFFF0000"/>
              <x14:negativeBorderColor rgb="FFFF0000"/>
              <x14:axisColor rgb="FF000000"/>
            </x14:dataBar>
          </x14:cfRule>
          <xm:sqref>CM40:CM42</xm:sqref>
        </x14:conditionalFormatting>
        <x14:conditionalFormatting xmlns:xm="http://schemas.microsoft.com/office/excel/2006/main">
          <x14:cfRule type="dataBar" id="{BDBA62C8-562B-4CE4-BB36-05E98C6DBEB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8F199A0-C4A3-43E7-B57D-43437A28CF9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B97A66C-C0F5-46B7-86BC-5AB94AAB487B}">
            <x14:dataBar minLength="0" maxLength="100" border="1" negativeBarBorderColorSameAsPositive="0">
              <x14:cfvo type="autoMin"/>
              <x14:cfvo type="autoMax"/>
              <x14:borderColor rgb="FF63C384"/>
              <x14:negativeFillColor rgb="FFFF0000"/>
              <x14:negativeBorderColor rgb="FFFF0000"/>
              <x14:axisColor rgb="FF000000"/>
            </x14:dataBar>
          </x14:cfRule>
          <xm:sqref>CM46:CM48</xm:sqref>
        </x14:conditionalFormatting>
        <x14:conditionalFormatting xmlns:xm="http://schemas.microsoft.com/office/excel/2006/main">
          <x14:cfRule type="dataBar" id="{79E15AC6-A2EC-4462-8DC9-58728C766020}">
            <x14:dataBar minLength="0" maxLength="100" border="1" negativeBarBorderColorSameAsPositive="0">
              <x14:cfvo type="autoMin"/>
              <x14:cfvo type="autoMax"/>
              <x14:borderColor rgb="FF63C384"/>
              <x14:negativeFillColor rgb="FFFF0000"/>
              <x14:negativeBorderColor rgb="FFFF0000"/>
              <x14:axisColor rgb="FF000000"/>
            </x14:dataBar>
          </x14:cfRule>
          <xm:sqref>CM47:CM48</xm:sqref>
        </x14:conditionalFormatting>
        <x14:conditionalFormatting xmlns:xm="http://schemas.microsoft.com/office/excel/2006/main">
          <x14:cfRule type="dataBar" id="{765CCC00-C314-4838-8EAB-49F20A1B07D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A394CAE-D29B-4579-A3E5-25C3D228624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59CAB95-86C8-4606-8A20-11B4A38AF152}">
            <x14:dataBar minLength="0" maxLength="100" border="1" negativeBarBorderColorSameAsPositive="0">
              <x14:cfvo type="autoMin"/>
              <x14:cfvo type="autoMax"/>
              <x14:borderColor rgb="FF63C384"/>
              <x14:negativeFillColor rgb="FFFF0000"/>
              <x14:negativeBorderColor rgb="FFFF0000"/>
              <x14:axisColor rgb="FF000000"/>
            </x14:dataBar>
          </x14:cfRule>
          <xm:sqref>CU4:CU14</xm:sqref>
        </x14:conditionalFormatting>
        <x14:conditionalFormatting xmlns:xm="http://schemas.microsoft.com/office/excel/2006/main">
          <x14:cfRule type="dataBar" id="{290CE404-96D4-49CF-BE2B-730C7F70961E}">
            <x14:dataBar minLength="0" maxLength="100" border="1" negativeBarBorderColorSameAsPositive="0">
              <x14:cfvo type="autoMin"/>
              <x14:cfvo type="autoMax"/>
              <x14:borderColor rgb="FF63C384"/>
              <x14:negativeFillColor rgb="FFFF0000"/>
              <x14:negativeBorderColor rgb="FFFF0000"/>
              <x14:axisColor rgb="FF000000"/>
            </x14:dataBar>
          </x14:cfRule>
          <xm:sqref>CU5:CU14</xm:sqref>
        </x14:conditionalFormatting>
        <x14:conditionalFormatting xmlns:xm="http://schemas.microsoft.com/office/excel/2006/main">
          <x14:cfRule type="dataBar" id="{41E17DE9-7BCD-4543-8DBD-07B65359311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63035E6-EF8F-4CC6-BBC9-4E732884D7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57B971C-BF55-4076-88FC-A0FF7C12D039}">
            <x14:dataBar minLength="0" maxLength="100" border="1" negativeBarBorderColorSameAsPositive="0">
              <x14:cfvo type="autoMin"/>
              <x14:cfvo type="autoMax"/>
              <x14:borderColor rgb="FF63C384"/>
              <x14:negativeFillColor rgb="FFFF0000"/>
              <x14:negativeBorderColor rgb="FFFF0000"/>
              <x14:axisColor rgb="FF000000"/>
            </x14:dataBar>
          </x14:cfRule>
          <xm:sqref>CU18:CU23</xm:sqref>
        </x14:conditionalFormatting>
        <x14:conditionalFormatting xmlns:xm="http://schemas.microsoft.com/office/excel/2006/main">
          <x14:cfRule type="dataBar" id="{6B69C73A-1D22-405E-8743-F9C7D0F763BD}">
            <x14:dataBar minLength="0" maxLength="100" border="1" negativeBarBorderColorSameAsPositive="0">
              <x14:cfvo type="autoMin"/>
              <x14:cfvo type="autoMax"/>
              <x14:borderColor rgb="FF63C384"/>
              <x14:negativeFillColor rgb="FFFF0000"/>
              <x14:negativeBorderColor rgb="FFFF0000"/>
              <x14:axisColor rgb="FF000000"/>
            </x14:dataBar>
          </x14:cfRule>
          <xm:sqref>CU19:CU23</xm:sqref>
        </x14:conditionalFormatting>
        <x14:conditionalFormatting xmlns:xm="http://schemas.microsoft.com/office/excel/2006/main">
          <x14:cfRule type="dataBar" id="{3510F18C-38FE-4E5A-A46F-75D8ADA5AF9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198189A-ED0B-4A57-A8BB-BE820FF51D26}">
            <x14:dataBar minLength="0" maxLength="100" border="1" negativeBarBorderColorSameAsPositive="0">
              <x14:cfvo type="autoMin"/>
              <x14:cfvo type="autoMax"/>
              <x14:borderColor rgb="FF63C384"/>
              <x14:negativeFillColor rgb="FFFF0000"/>
              <x14:negativeBorderColor rgb="FFFF0000"/>
              <x14:axisColor rgb="FF000000"/>
            </x14:dataBar>
          </x14:cfRule>
          <xm:sqref>CU27:CU30</xm:sqref>
        </x14:conditionalFormatting>
        <x14:conditionalFormatting xmlns:xm="http://schemas.microsoft.com/office/excel/2006/main">
          <x14:cfRule type="dataBar" id="{1851F1DA-E493-460E-BEB3-F0918DB6E62C}">
            <x14:dataBar minLength="0" maxLength="100" border="1" negativeBarBorderColorSameAsPositive="0">
              <x14:cfvo type="autoMin"/>
              <x14:cfvo type="autoMax"/>
              <x14:borderColor rgb="FF63C384"/>
              <x14:negativeFillColor rgb="FFFF0000"/>
              <x14:negativeBorderColor rgb="FFFF0000"/>
              <x14:axisColor rgb="FF000000"/>
            </x14:dataBar>
          </x14:cfRule>
          <xm:sqref>CU27:CU31</xm:sqref>
        </x14:conditionalFormatting>
        <x14:conditionalFormatting xmlns:xm="http://schemas.microsoft.com/office/excel/2006/main">
          <x14:cfRule type="dataBar" id="{32D4049E-93EF-4775-B9EE-B38C417E5DE8}">
            <x14:dataBar minLength="0" maxLength="100" border="1" negativeBarBorderColorSameAsPositive="0">
              <x14:cfvo type="autoMin"/>
              <x14:cfvo type="autoMax"/>
              <x14:borderColor rgb="FF63C384"/>
              <x14:negativeFillColor rgb="FFFF0000"/>
              <x14:negativeBorderColor rgb="FFFF0000"/>
              <x14:axisColor rgb="FF000000"/>
            </x14:dataBar>
          </x14:cfRule>
          <xm:sqref>CU28:CU31</xm:sqref>
        </x14:conditionalFormatting>
        <x14:conditionalFormatting xmlns:xm="http://schemas.microsoft.com/office/excel/2006/main">
          <x14:cfRule type="dataBar" id="{FA06B64C-7D01-4A2F-B988-28C6D434994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1082DB2-D62E-4956-9FD4-71DB2A56A68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5F1130E-B2BC-4814-957F-394D16ADEA0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DCEE3DD-AB2B-4302-AF82-AFD16BC00E31}">
            <x14:dataBar minLength="0" maxLength="100" border="1" negativeBarBorderColorSameAsPositive="0">
              <x14:cfvo type="autoMin"/>
              <x14:cfvo type="autoMax"/>
              <x14:borderColor rgb="FF63C384"/>
              <x14:negativeFillColor rgb="FFFF0000"/>
              <x14:negativeBorderColor rgb="FFFF0000"/>
              <x14:axisColor rgb="FF000000"/>
            </x14:dataBar>
          </x14:cfRule>
          <xm:sqref>CU34:CU35</xm:sqref>
        </x14:conditionalFormatting>
        <x14:conditionalFormatting xmlns:xm="http://schemas.microsoft.com/office/excel/2006/main">
          <x14:cfRule type="dataBar" id="{473C18FD-63F9-415D-A53B-47846EE20F71}">
            <x14:dataBar minLength="0" maxLength="100" border="1" negativeBarBorderColorSameAsPositive="0">
              <x14:cfvo type="autoMin"/>
              <x14:cfvo type="autoMax"/>
              <x14:borderColor rgb="FF63C384"/>
              <x14:negativeFillColor rgb="FFFF0000"/>
              <x14:negativeBorderColor rgb="FFFF0000"/>
              <x14:axisColor rgb="FF000000"/>
            </x14:dataBar>
          </x14:cfRule>
          <xm:sqref>CU35</xm:sqref>
        </x14:conditionalFormatting>
        <x14:conditionalFormatting xmlns:xm="http://schemas.microsoft.com/office/excel/2006/main">
          <x14:cfRule type="dataBar" id="{6AD28BA5-7F90-4524-B5A9-CDBB6662838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24CE324-2277-4BDA-9FBF-F2EE6B5B3B9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C8516DD-B7EB-4A67-89F1-93F1ECBF5882}">
            <x14:dataBar minLength="0" maxLength="100" border="1" negativeBarBorderColorSameAsPositive="0">
              <x14:cfvo type="autoMin"/>
              <x14:cfvo type="autoMax"/>
              <x14:borderColor rgb="FF63C384"/>
              <x14:negativeFillColor rgb="FFFF0000"/>
              <x14:negativeBorderColor rgb="FFFF0000"/>
              <x14:axisColor rgb="FF000000"/>
            </x14:dataBar>
          </x14:cfRule>
          <xm:sqref>CU39:CU42</xm:sqref>
        </x14:conditionalFormatting>
        <x14:conditionalFormatting xmlns:xm="http://schemas.microsoft.com/office/excel/2006/main">
          <x14:cfRule type="dataBar" id="{C9CF7BEE-51B8-4643-AAF9-72C7EEF93100}">
            <x14:dataBar minLength="0" maxLength="100" border="1" negativeBarBorderColorSameAsPositive="0">
              <x14:cfvo type="autoMin"/>
              <x14:cfvo type="autoMax"/>
              <x14:borderColor rgb="FF63C384"/>
              <x14:negativeFillColor rgb="FFFF0000"/>
              <x14:negativeBorderColor rgb="FFFF0000"/>
              <x14:axisColor rgb="FF000000"/>
            </x14:dataBar>
          </x14:cfRule>
          <xm:sqref>CU40:CU42</xm:sqref>
        </x14:conditionalFormatting>
        <x14:conditionalFormatting xmlns:xm="http://schemas.microsoft.com/office/excel/2006/main">
          <x14:cfRule type="dataBar" id="{CD0CE448-7A22-4FBF-B4E4-E6B4D56F3A4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3AD7845-B157-4646-9ECE-70EDAEC5628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5BAC16D-870B-4134-A47A-3E7B2B629E3A}">
            <x14:dataBar minLength="0" maxLength="100" border="1" negativeBarBorderColorSameAsPositive="0">
              <x14:cfvo type="autoMin"/>
              <x14:cfvo type="autoMax"/>
              <x14:borderColor rgb="FF63C384"/>
              <x14:negativeFillColor rgb="FFFF0000"/>
              <x14:negativeBorderColor rgb="FFFF0000"/>
              <x14:axisColor rgb="FF000000"/>
            </x14:dataBar>
          </x14:cfRule>
          <xm:sqref>CU46:CU48</xm:sqref>
        </x14:conditionalFormatting>
        <x14:conditionalFormatting xmlns:xm="http://schemas.microsoft.com/office/excel/2006/main">
          <x14:cfRule type="dataBar" id="{EB5D797E-A59A-4531-BAFC-4E796930F8F8}">
            <x14:dataBar minLength="0" maxLength="100" border="1" negativeBarBorderColorSameAsPositive="0">
              <x14:cfvo type="autoMin"/>
              <x14:cfvo type="autoMax"/>
              <x14:borderColor rgb="FF63C384"/>
              <x14:negativeFillColor rgb="FFFF0000"/>
              <x14:negativeBorderColor rgb="FFFF0000"/>
              <x14:axisColor rgb="FF000000"/>
            </x14:dataBar>
          </x14:cfRule>
          <xm:sqref>CU47:CU48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8385-CA54-4EF4-BACD-5EBFFC55FA59}">
  <sheetPr codeName="Sheet6">
    <tabColor theme="4"/>
  </sheetPr>
  <dimension ref="A1:C442"/>
  <sheetViews>
    <sheetView showGridLines="0" zoomScale="60" workbookViewId="0">
      <selection activeCell="G24" sqref="G24"/>
    </sheetView>
  </sheetViews>
  <sheetFormatPr defaultRowHeight="16.5"/>
  <cols>
    <col min="1" max="1" width="15.26953125" style="74" bestFit="1" customWidth="1"/>
    <col min="2" max="2" width="25.90625" style="74" bestFit="1" customWidth="1"/>
    <col min="3" max="3" width="10.36328125" style="74" bestFit="1" customWidth="1"/>
    <col min="4" max="4" width="6.7265625" style="1" bestFit="1" customWidth="1"/>
    <col min="5" max="5" width="6.54296875" style="1" bestFit="1" customWidth="1"/>
    <col min="6" max="6" width="6.1796875" style="1" bestFit="1" customWidth="1"/>
    <col min="7" max="7" width="5.7265625" style="1" bestFit="1" customWidth="1"/>
    <col min="8" max="9" width="6.26953125" style="1" bestFit="1" customWidth="1"/>
    <col min="10" max="10" width="6.54296875" style="1" bestFit="1" customWidth="1"/>
    <col min="11" max="12" width="6.81640625" style="1" bestFit="1" customWidth="1"/>
    <col min="13" max="13" width="6.6328125" style="1" bestFit="1" customWidth="1"/>
    <col min="14" max="14" width="6.453125" style="1" bestFit="1" customWidth="1"/>
    <col min="15" max="15" width="6.6328125" style="1" bestFit="1" customWidth="1"/>
    <col min="16" max="16" width="10.36328125" style="1" bestFit="1" customWidth="1"/>
    <col min="17" max="16384" width="8.7265625" style="1"/>
  </cols>
  <sheetData>
    <row r="1" spans="1:2">
      <c r="A1" s="79" t="s">
        <v>2</v>
      </c>
      <c r="B1" s="80" t="s">
        <v>60</v>
      </c>
    </row>
    <row r="3" spans="1:2">
      <c r="A3" s="79" t="s">
        <v>72</v>
      </c>
      <c r="B3" s="80" t="s">
        <v>122</v>
      </c>
    </row>
    <row r="4" spans="1:2">
      <c r="A4" s="81" t="s">
        <v>77</v>
      </c>
      <c r="B4" s="80">
        <v>139</v>
      </c>
    </row>
    <row r="5" spans="1:2">
      <c r="A5" s="81" t="s">
        <v>78</v>
      </c>
      <c r="B5" s="80">
        <v>348</v>
      </c>
    </row>
    <row r="6" spans="1:2">
      <c r="A6" s="81" t="s">
        <v>86</v>
      </c>
      <c r="B6" s="80">
        <v>611</v>
      </c>
    </row>
    <row r="7" spans="1:2">
      <c r="A7" s="81" t="s">
        <v>87</v>
      </c>
      <c r="B7" s="80">
        <v>928</v>
      </c>
    </row>
    <row r="8" spans="1:2">
      <c r="A8" s="81" t="s">
        <v>88</v>
      </c>
      <c r="B8" s="80">
        <v>660</v>
      </c>
    </row>
    <row r="9" spans="1:2">
      <c r="A9" s="81" t="s">
        <v>89</v>
      </c>
      <c r="B9" s="80">
        <v>236</v>
      </c>
    </row>
    <row r="10" spans="1:2">
      <c r="A10" s="81" t="s">
        <v>90</v>
      </c>
      <c r="B10" s="80">
        <v>329</v>
      </c>
    </row>
    <row r="11" spans="1:2">
      <c r="A11" s="81" t="s">
        <v>91</v>
      </c>
      <c r="B11" s="80">
        <v>388</v>
      </c>
    </row>
    <row r="12" spans="1:2">
      <c r="A12" s="81" t="s">
        <v>92</v>
      </c>
      <c r="B12" s="80">
        <v>623</v>
      </c>
    </row>
    <row r="13" spans="1:2">
      <c r="A13" s="81" t="s">
        <v>93</v>
      </c>
      <c r="B13" s="80">
        <v>343</v>
      </c>
    </row>
    <row r="14" spans="1:2">
      <c r="A14" s="81" t="s">
        <v>94</v>
      </c>
      <c r="B14" s="80">
        <v>454</v>
      </c>
    </row>
    <row r="15" spans="1:2">
      <c r="A15" s="81" t="s">
        <v>95</v>
      </c>
      <c r="B15" s="80">
        <v>576</v>
      </c>
    </row>
    <row r="16" spans="1:2">
      <c r="A16" s="81" t="s">
        <v>84</v>
      </c>
      <c r="B16" s="80">
        <v>538</v>
      </c>
    </row>
    <row r="17" spans="1:3">
      <c r="A17" s="81" t="s">
        <v>85</v>
      </c>
      <c r="B17" s="80">
        <v>527</v>
      </c>
    </row>
    <row r="18" spans="1:3">
      <c r="A18" s="81" t="s">
        <v>73</v>
      </c>
      <c r="B18" s="80">
        <v>6700</v>
      </c>
    </row>
    <row r="22" spans="1:3">
      <c r="A22" s="74" t="s">
        <v>2</v>
      </c>
      <c r="B22" s="74" t="s">
        <v>37</v>
      </c>
      <c r="C22" s="74" t="s">
        <v>74</v>
      </c>
    </row>
    <row r="23" spans="1:3">
      <c r="A23" s="74" t="s">
        <v>38</v>
      </c>
      <c r="B23" s="74" t="s">
        <v>77</v>
      </c>
      <c r="C23" s="74">
        <v>232000</v>
      </c>
    </row>
    <row r="24" spans="1:3">
      <c r="A24" s="74" t="s">
        <v>38</v>
      </c>
      <c r="B24" s="74" t="s">
        <v>78</v>
      </c>
      <c r="C24" s="74">
        <v>233000</v>
      </c>
    </row>
    <row r="25" spans="1:3">
      <c r="A25" s="74" t="s">
        <v>38</v>
      </c>
      <c r="B25" s="74" t="s">
        <v>86</v>
      </c>
      <c r="C25" s="74">
        <v>233423</v>
      </c>
    </row>
    <row r="26" spans="1:3">
      <c r="A26" s="74" t="s">
        <v>38</v>
      </c>
      <c r="B26" s="74" t="s">
        <v>87</v>
      </c>
      <c r="C26" s="74">
        <v>236781</v>
      </c>
    </row>
    <row r="27" spans="1:3">
      <c r="A27" s="74" t="s">
        <v>38</v>
      </c>
      <c r="B27" s="74" t="s">
        <v>88</v>
      </c>
      <c r="C27" s="74">
        <v>240543</v>
      </c>
    </row>
    <row r="28" spans="1:3">
      <c r="A28" s="74" t="s">
        <v>38</v>
      </c>
      <c r="B28" s="74" t="s">
        <v>89</v>
      </c>
      <c r="C28" s="74">
        <v>238000</v>
      </c>
    </row>
    <row r="29" spans="1:3">
      <c r="A29" s="74" t="s">
        <v>38</v>
      </c>
      <c r="B29" s="74" t="s">
        <v>90</v>
      </c>
      <c r="C29" s="74">
        <v>241300</v>
      </c>
    </row>
    <row r="30" spans="1:3">
      <c r="A30" s="74" t="s">
        <v>38</v>
      </c>
      <c r="B30" s="74" t="s">
        <v>91</v>
      </c>
      <c r="C30" s="74">
        <v>242000</v>
      </c>
    </row>
    <row r="31" spans="1:3">
      <c r="A31" s="74" t="s">
        <v>38</v>
      </c>
      <c r="B31" s="74" t="s">
        <v>92</v>
      </c>
      <c r="C31" s="74">
        <v>242222</v>
      </c>
    </row>
    <row r="32" spans="1:3">
      <c r="A32" s="74" t="s">
        <v>38</v>
      </c>
      <c r="B32" s="74" t="s">
        <v>93</v>
      </c>
      <c r="C32" s="74">
        <v>245654</v>
      </c>
    </row>
    <row r="33" spans="1:3">
      <c r="A33" s="74" t="s">
        <v>38</v>
      </c>
      <c r="B33" s="74" t="s">
        <v>94</v>
      </c>
      <c r="C33" s="74">
        <v>246578</v>
      </c>
    </row>
    <row r="34" spans="1:3">
      <c r="A34" s="74" t="s">
        <v>38</v>
      </c>
      <c r="B34" s="74" t="s">
        <v>95</v>
      </c>
      <c r="C34" s="74">
        <v>247600</v>
      </c>
    </row>
    <row r="35" spans="1:3">
      <c r="A35" s="74" t="s">
        <v>38</v>
      </c>
      <c r="B35" s="74" t="s">
        <v>84</v>
      </c>
      <c r="C35" s="74">
        <v>247800</v>
      </c>
    </row>
    <row r="36" spans="1:3">
      <c r="A36" s="74" t="s">
        <v>38</v>
      </c>
      <c r="B36" s="74" t="s">
        <v>85</v>
      </c>
      <c r="C36" s="74">
        <v>246987</v>
      </c>
    </row>
    <row r="37" spans="1:3">
      <c r="A37" s="74" t="s">
        <v>39</v>
      </c>
      <c r="B37" s="74" t="s">
        <v>77</v>
      </c>
      <c r="C37" s="74">
        <v>4366000</v>
      </c>
    </row>
    <row r="38" spans="1:3">
      <c r="A38" s="74" t="s">
        <v>39</v>
      </c>
      <c r="B38" s="74" t="s">
        <v>78</v>
      </c>
      <c r="C38" s="74">
        <v>6200000</v>
      </c>
    </row>
    <row r="39" spans="1:3">
      <c r="A39" s="74" t="s">
        <v>39</v>
      </c>
      <c r="B39" s="74" t="s">
        <v>86</v>
      </c>
      <c r="C39" s="74">
        <v>9400000</v>
      </c>
    </row>
    <row r="40" spans="1:3">
      <c r="A40" s="74" t="s">
        <v>39</v>
      </c>
      <c r="B40" s="74" t="s">
        <v>87</v>
      </c>
      <c r="C40" s="74">
        <v>9000000</v>
      </c>
    </row>
    <row r="41" spans="1:3">
      <c r="A41" s="74" t="s">
        <v>39</v>
      </c>
      <c r="B41" s="74" t="s">
        <v>88</v>
      </c>
      <c r="C41" s="74">
        <v>7500000</v>
      </c>
    </row>
    <row r="42" spans="1:3">
      <c r="A42" s="74" t="s">
        <v>39</v>
      </c>
      <c r="B42" s="74" t="s">
        <v>89</v>
      </c>
      <c r="C42" s="74">
        <v>3700000</v>
      </c>
    </row>
    <row r="43" spans="1:3">
      <c r="A43" s="74" t="s">
        <v>39</v>
      </c>
      <c r="B43" s="74" t="s">
        <v>90</v>
      </c>
      <c r="C43" s="74">
        <v>4400000</v>
      </c>
    </row>
    <row r="44" spans="1:3">
      <c r="A44" s="74" t="s">
        <v>39</v>
      </c>
      <c r="B44" s="74" t="s">
        <v>91</v>
      </c>
      <c r="C44" s="74">
        <v>3900000</v>
      </c>
    </row>
    <row r="45" spans="1:3">
      <c r="A45" s="74" t="s">
        <v>39</v>
      </c>
      <c r="B45" s="74" t="s">
        <v>92</v>
      </c>
      <c r="C45" s="74">
        <v>9800000</v>
      </c>
    </row>
    <row r="46" spans="1:3">
      <c r="A46" s="74" t="s">
        <v>39</v>
      </c>
      <c r="B46" s="74" t="s">
        <v>93</v>
      </c>
      <c r="C46" s="74">
        <v>458000</v>
      </c>
    </row>
    <row r="47" spans="1:3">
      <c r="A47" s="74" t="s">
        <v>39</v>
      </c>
      <c r="B47" s="74" t="s">
        <v>94</v>
      </c>
      <c r="C47" s="74">
        <v>435670</v>
      </c>
    </row>
    <row r="48" spans="1:3">
      <c r="A48" s="74" t="s">
        <v>39</v>
      </c>
      <c r="B48" s="74" t="s">
        <v>95</v>
      </c>
      <c r="C48" s="74">
        <v>567000</v>
      </c>
    </row>
    <row r="49" spans="1:3">
      <c r="A49" s="74" t="s">
        <v>39</v>
      </c>
      <c r="B49" s="74" t="s">
        <v>84</v>
      </c>
      <c r="C49" s="74">
        <v>545897</v>
      </c>
    </row>
    <row r="50" spans="1:3">
      <c r="A50" s="74" t="s">
        <v>39</v>
      </c>
      <c r="B50" s="74" t="s">
        <v>85</v>
      </c>
      <c r="C50" s="74">
        <v>432567</v>
      </c>
    </row>
    <row r="51" spans="1:3">
      <c r="A51" s="74" t="s">
        <v>40</v>
      </c>
      <c r="B51" s="74" t="s">
        <v>77</v>
      </c>
      <c r="C51" s="74">
        <v>0</v>
      </c>
    </row>
    <row r="52" spans="1:3">
      <c r="A52" s="74" t="s">
        <v>40</v>
      </c>
      <c r="B52" s="74" t="s">
        <v>78</v>
      </c>
      <c r="C52" s="74">
        <v>0</v>
      </c>
    </row>
    <row r="53" spans="1:3">
      <c r="A53" s="74" t="s">
        <v>40</v>
      </c>
      <c r="B53" s="74" t="s">
        <v>86</v>
      </c>
      <c r="C53" s="74">
        <v>0</v>
      </c>
    </row>
    <row r="54" spans="1:3">
      <c r="A54" s="74" t="s">
        <v>40</v>
      </c>
      <c r="B54" s="74" t="s">
        <v>87</v>
      </c>
      <c r="C54" s="74">
        <v>0</v>
      </c>
    </row>
    <row r="55" spans="1:3">
      <c r="A55" s="74" t="s">
        <v>40</v>
      </c>
      <c r="B55" s="74" t="s">
        <v>88</v>
      </c>
      <c r="C55" s="74">
        <v>0</v>
      </c>
    </row>
    <row r="56" spans="1:3">
      <c r="A56" s="74" t="s">
        <v>40</v>
      </c>
      <c r="B56" s="74" t="s">
        <v>89</v>
      </c>
      <c r="C56" s="74">
        <v>0</v>
      </c>
    </row>
    <row r="57" spans="1:3">
      <c r="A57" s="74" t="s">
        <v>40</v>
      </c>
      <c r="B57" s="74" t="s">
        <v>90</v>
      </c>
      <c r="C57" s="74">
        <v>0</v>
      </c>
    </row>
    <row r="58" spans="1:3">
      <c r="A58" s="74" t="s">
        <v>40</v>
      </c>
      <c r="B58" s="74" t="s">
        <v>91</v>
      </c>
      <c r="C58" s="74">
        <v>0</v>
      </c>
    </row>
    <row r="59" spans="1:3">
      <c r="A59" s="74" t="s">
        <v>40</v>
      </c>
      <c r="B59" s="74" t="s">
        <v>92</v>
      </c>
      <c r="C59" s="74">
        <v>0</v>
      </c>
    </row>
    <row r="60" spans="1:3">
      <c r="A60" s="74" t="s">
        <v>40</v>
      </c>
      <c r="B60" s="74" t="s">
        <v>93</v>
      </c>
      <c r="C60" s="74">
        <v>0</v>
      </c>
    </row>
    <row r="61" spans="1:3">
      <c r="A61" s="74" t="s">
        <v>40</v>
      </c>
      <c r="B61" s="74" t="s">
        <v>94</v>
      </c>
      <c r="C61" s="74">
        <v>0</v>
      </c>
    </row>
    <row r="62" spans="1:3">
      <c r="A62" s="74" t="s">
        <v>40</v>
      </c>
      <c r="B62" s="74" t="s">
        <v>95</v>
      </c>
      <c r="C62" s="74">
        <v>0</v>
      </c>
    </row>
    <row r="63" spans="1:3">
      <c r="A63" s="74" t="s">
        <v>40</v>
      </c>
      <c r="B63" s="74" t="s">
        <v>84</v>
      </c>
      <c r="C63" s="74">
        <v>0</v>
      </c>
    </row>
    <row r="64" spans="1:3">
      <c r="A64" s="74" t="s">
        <v>40</v>
      </c>
      <c r="B64" s="74" t="s">
        <v>85</v>
      </c>
      <c r="C64" s="74">
        <v>0</v>
      </c>
    </row>
    <row r="65" spans="1:3">
      <c r="A65" s="74" t="s">
        <v>41</v>
      </c>
      <c r="B65" s="74" t="s">
        <v>77</v>
      </c>
      <c r="C65" s="74">
        <v>136000</v>
      </c>
    </row>
    <row r="66" spans="1:3">
      <c r="A66" s="74" t="s">
        <v>41</v>
      </c>
      <c r="B66" s="74" t="s">
        <v>78</v>
      </c>
      <c r="C66" s="74">
        <v>357000</v>
      </c>
    </row>
    <row r="67" spans="1:3">
      <c r="A67" s="74" t="s">
        <v>41</v>
      </c>
      <c r="B67" s="74" t="s">
        <v>86</v>
      </c>
      <c r="C67" s="74">
        <v>422500</v>
      </c>
    </row>
    <row r="68" spans="1:3">
      <c r="A68" s="74" t="s">
        <v>41</v>
      </c>
      <c r="B68" s="74" t="s">
        <v>87</v>
      </c>
      <c r="C68" s="74">
        <v>377700</v>
      </c>
    </row>
    <row r="69" spans="1:3">
      <c r="A69" s="74" t="s">
        <v>41</v>
      </c>
      <c r="B69" s="74" t="s">
        <v>88</v>
      </c>
      <c r="C69" s="74">
        <v>313000</v>
      </c>
    </row>
    <row r="70" spans="1:3">
      <c r="A70" s="74" t="s">
        <v>41</v>
      </c>
      <c r="B70" s="74" t="s">
        <v>89</v>
      </c>
      <c r="C70" s="74">
        <v>134000</v>
      </c>
    </row>
    <row r="71" spans="1:3">
      <c r="A71" s="74" t="s">
        <v>41</v>
      </c>
      <c r="B71" s="74" t="s">
        <v>90</v>
      </c>
      <c r="C71" s="74">
        <v>189700</v>
      </c>
    </row>
    <row r="72" spans="1:3">
      <c r="A72" s="74" t="s">
        <v>41</v>
      </c>
      <c r="B72" s="74" t="s">
        <v>91</v>
      </c>
      <c r="C72" s="74">
        <v>183400</v>
      </c>
    </row>
    <row r="73" spans="1:3">
      <c r="A73" s="74" t="s">
        <v>41</v>
      </c>
      <c r="B73" s="74" t="s">
        <v>92</v>
      </c>
      <c r="C73" s="74">
        <v>386154</v>
      </c>
    </row>
    <row r="74" spans="1:3">
      <c r="A74" s="74" t="s">
        <v>41</v>
      </c>
      <c r="B74" s="74" t="s">
        <v>93</v>
      </c>
      <c r="C74" s="74">
        <v>432111</v>
      </c>
    </row>
    <row r="75" spans="1:3">
      <c r="A75" s="74" t="s">
        <v>41</v>
      </c>
      <c r="B75" s="74" t="s">
        <v>94</v>
      </c>
      <c r="C75" s="74">
        <v>422111</v>
      </c>
    </row>
    <row r="76" spans="1:3">
      <c r="A76" s="74" t="s">
        <v>41</v>
      </c>
      <c r="B76" s="74" t="s">
        <v>95</v>
      </c>
      <c r="C76" s="74">
        <v>234555</v>
      </c>
    </row>
    <row r="77" spans="1:3">
      <c r="A77" s="74" t="s">
        <v>41</v>
      </c>
      <c r="B77" s="74" t="s">
        <v>84</v>
      </c>
      <c r="C77" s="74">
        <v>324123</v>
      </c>
    </row>
    <row r="78" spans="1:3">
      <c r="A78" s="74" t="s">
        <v>41</v>
      </c>
      <c r="B78" s="74" t="s">
        <v>85</v>
      </c>
      <c r="C78" s="74">
        <v>345666</v>
      </c>
    </row>
    <row r="79" spans="1:3">
      <c r="A79" s="74" t="s">
        <v>42</v>
      </c>
      <c r="B79" s="74" t="s">
        <v>77</v>
      </c>
      <c r="C79" s="74">
        <v>29800</v>
      </c>
    </row>
    <row r="80" spans="1:3">
      <c r="A80" s="74" t="s">
        <v>42</v>
      </c>
      <c r="B80" s="74" t="s">
        <v>78</v>
      </c>
      <c r="C80" s="74">
        <v>89200</v>
      </c>
    </row>
    <row r="81" spans="1:3">
      <c r="A81" s="74" t="s">
        <v>42</v>
      </c>
      <c r="B81" s="74" t="s">
        <v>86</v>
      </c>
      <c r="C81" s="74">
        <v>100600</v>
      </c>
    </row>
    <row r="82" spans="1:3">
      <c r="A82" s="74" t="s">
        <v>42</v>
      </c>
      <c r="B82" s="74" t="s">
        <v>87</v>
      </c>
      <c r="C82" s="74">
        <v>71900</v>
      </c>
    </row>
    <row r="83" spans="1:3">
      <c r="A83" s="74" t="s">
        <v>42</v>
      </c>
      <c r="B83" s="74" t="s">
        <v>88</v>
      </c>
      <c r="C83" s="74">
        <v>68100</v>
      </c>
    </row>
    <row r="84" spans="1:3">
      <c r="A84" s="74" t="s">
        <v>42</v>
      </c>
      <c r="B84" s="74" t="s">
        <v>89</v>
      </c>
      <c r="C84" s="74">
        <v>34300</v>
      </c>
    </row>
    <row r="85" spans="1:3">
      <c r="A85" s="74" t="s">
        <v>42</v>
      </c>
      <c r="B85" s="74" t="s">
        <v>90</v>
      </c>
      <c r="C85" s="74">
        <v>38900</v>
      </c>
    </row>
    <row r="86" spans="1:3">
      <c r="A86" s="74" t="s">
        <v>42</v>
      </c>
      <c r="B86" s="74" t="s">
        <v>91</v>
      </c>
      <c r="C86" s="74">
        <v>33900</v>
      </c>
    </row>
    <row r="87" spans="1:3">
      <c r="A87" s="74" t="s">
        <v>42</v>
      </c>
      <c r="B87" s="74" t="s">
        <v>92</v>
      </c>
      <c r="C87" s="74">
        <v>69040</v>
      </c>
    </row>
    <row r="88" spans="1:3">
      <c r="A88" s="74" t="s">
        <v>42</v>
      </c>
      <c r="B88" s="74" t="s">
        <v>93</v>
      </c>
      <c r="C88" s="74">
        <v>70123</v>
      </c>
    </row>
    <row r="89" spans="1:3">
      <c r="A89" s="74" t="s">
        <v>42</v>
      </c>
      <c r="B89" s="74" t="s">
        <v>94</v>
      </c>
      <c r="C89" s="74">
        <v>67888</v>
      </c>
    </row>
    <row r="90" spans="1:3">
      <c r="A90" s="74" t="s">
        <v>42</v>
      </c>
      <c r="B90" s="74" t="s">
        <v>95</v>
      </c>
      <c r="C90" s="74">
        <v>65768</v>
      </c>
    </row>
    <row r="91" spans="1:3">
      <c r="A91" s="74" t="s">
        <v>42</v>
      </c>
      <c r="B91" s="74" t="s">
        <v>84</v>
      </c>
      <c r="C91" s="74">
        <v>64555</v>
      </c>
    </row>
    <row r="92" spans="1:3">
      <c r="A92" s="74" t="s">
        <v>42</v>
      </c>
      <c r="B92" s="74" t="s">
        <v>85</v>
      </c>
      <c r="C92" s="74">
        <v>55432</v>
      </c>
    </row>
    <row r="93" spans="1:3">
      <c r="A93" s="74" t="s">
        <v>43</v>
      </c>
      <c r="B93" s="74" t="s">
        <v>77</v>
      </c>
      <c r="C93" s="74">
        <v>1340</v>
      </c>
    </row>
    <row r="94" spans="1:3">
      <c r="A94" s="74" t="s">
        <v>43</v>
      </c>
      <c r="B94" s="74" t="s">
        <v>78</v>
      </c>
      <c r="C94" s="74">
        <v>2400</v>
      </c>
    </row>
    <row r="95" spans="1:3">
      <c r="A95" s="74" t="s">
        <v>43</v>
      </c>
      <c r="B95" s="74" t="s">
        <v>86</v>
      </c>
      <c r="C95" s="74">
        <v>3300</v>
      </c>
    </row>
    <row r="96" spans="1:3">
      <c r="A96" s="74" t="s">
        <v>43</v>
      </c>
      <c r="B96" s="74" t="s">
        <v>87</v>
      </c>
      <c r="C96" s="74">
        <v>3900</v>
      </c>
    </row>
    <row r="97" spans="1:3">
      <c r="A97" s="74" t="s">
        <v>43</v>
      </c>
      <c r="B97" s="74" t="s">
        <v>88</v>
      </c>
      <c r="C97" s="74">
        <v>4700</v>
      </c>
    </row>
    <row r="98" spans="1:3">
      <c r="A98" s="74" t="s">
        <v>43</v>
      </c>
      <c r="B98" s="74" t="s">
        <v>89</v>
      </c>
      <c r="C98" s="74">
        <v>3800</v>
      </c>
    </row>
    <row r="99" spans="1:3">
      <c r="A99" s="74" t="s">
        <v>43</v>
      </c>
      <c r="B99" s="74" t="s">
        <v>90</v>
      </c>
      <c r="C99" s="74">
        <v>3200</v>
      </c>
    </row>
    <row r="100" spans="1:3">
      <c r="A100" s="74" t="s">
        <v>43</v>
      </c>
      <c r="B100" s="74" t="s">
        <v>91</v>
      </c>
      <c r="C100" s="74">
        <v>3900</v>
      </c>
    </row>
    <row r="101" spans="1:3">
      <c r="A101" s="74" t="s">
        <v>43</v>
      </c>
      <c r="B101" s="74" t="s">
        <v>92</v>
      </c>
      <c r="C101" s="74">
        <v>6400</v>
      </c>
    </row>
    <row r="102" spans="1:3">
      <c r="A102" s="74" t="s">
        <v>43</v>
      </c>
      <c r="B102" s="74" t="s">
        <v>93</v>
      </c>
      <c r="C102" s="74">
        <v>7544</v>
      </c>
    </row>
    <row r="103" spans="1:3">
      <c r="A103" s="74" t="s">
        <v>43</v>
      </c>
      <c r="B103" s="74" t="s">
        <v>94</v>
      </c>
      <c r="C103" s="74">
        <v>7200</v>
      </c>
    </row>
    <row r="104" spans="1:3">
      <c r="A104" s="74" t="s">
        <v>43</v>
      </c>
      <c r="B104" s="74" t="s">
        <v>95</v>
      </c>
      <c r="C104" s="74">
        <v>6500</v>
      </c>
    </row>
    <row r="105" spans="1:3">
      <c r="A105" s="74" t="s">
        <v>43</v>
      </c>
      <c r="B105" s="74" t="s">
        <v>84</v>
      </c>
      <c r="C105" s="74">
        <v>5600</v>
      </c>
    </row>
    <row r="106" spans="1:3">
      <c r="A106" s="74" t="s">
        <v>43</v>
      </c>
      <c r="B106" s="74" t="s">
        <v>85</v>
      </c>
      <c r="C106" s="74">
        <v>7234</v>
      </c>
    </row>
    <row r="107" spans="1:3">
      <c r="A107" s="74" t="s">
        <v>44</v>
      </c>
      <c r="B107" s="74" t="s">
        <v>77</v>
      </c>
      <c r="C107" s="74">
        <v>14270</v>
      </c>
    </row>
    <row r="108" spans="1:3">
      <c r="A108" s="74" t="s">
        <v>44</v>
      </c>
      <c r="B108" s="74" t="s">
        <v>78</v>
      </c>
      <c r="C108" s="74">
        <v>27400</v>
      </c>
    </row>
    <row r="109" spans="1:3">
      <c r="A109" s="74" t="s">
        <v>44</v>
      </c>
      <c r="B109" s="74" t="s">
        <v>86</v>
      </c>
      <c r="C109" s="74">
        <v>52300</v>
      </c>
    </row>
    <row r="110" spans="1:3">
      <c r="A110" s="74" t="s">
        <v>44</v>
      </c>
      <c r="B110" s="74" t="s">
        <v>87</v>
      </c>
      <c r="C110" s="74">
        <v>57600</v>
      </c>
    </row>
    <row r="111" spans="1:3">
      <c r="A111" s="74" t="s">
        <v>44</v>
      </c>
      <c r="B111" s="74" t="s">
        <v>88</v>
      </c>
      <c r="C111" s="74">
        <v>37600</v>
      </c>
    </row>
    <row r="112" spans="1:3">
      <c r="A112" s="74" t="s">
        <v>44</v>
      </c>
      <c r="B112" s="74" t="s">
        <v>89</v>
      </c>
      <c r="C112" s="74">
        <v>10800</v>
      </c>
    </row>
    <row r="113" spans="1:3">
      <c r="A113" s="74" t="s">
        <v>44</v>
      </c>
      <c r="B113" s="74" t="s">
        <v>90</v>
      </c>
      <c r="C113" s="74">
        <v>22500</v>
      </c>
    </row>
    <row r="114" spans="1:3">
      <c r="A114" s="74" t="s">
        <v>44</v>
      </c>
      <c r="B114" s="74" t="s">
        <v>91</v>
      </c>
      <c r="C114" s="74">
        <v>26300</v>
      </c>
    </row>
    <row r="115" spans="1:3">
      <c r="A115" s="74" t="s">
        <v>44</v>
      </c>
      <c r="B115" s="74" t="s">
        <v>92</v>
      </c>
      <c r="C115" s="74">
        <v>49065</v>
      </c>
    </row>
    <row r="116" spans="1:3">
      <c r="A116" s="74" t="s">
        <v>44</v>
      </c>
      <c r="B116" s="74" t="s">
        <v>93</v>
      </c>
      <c r="C116" s="74">
        <v>51890</v>
      </c>
    </row>
    <row r="117" spans="1:3">
      <c r="A117" s="74" t="s">
        <v>44</v>
      </c>
      <c r="B117" s="74" t="s">
        <v>94</v>
      </c>
      <c r="C117" s="74">
        <v>43444</v>
      </c>
    </row>
    <row r="118" spans="1:3">
      <c r="A118" s="74" t="s">
        <v>44</v>
      </c>
      <c r="B118" s="74" t="s">
        <v>95</v>
      </c>
      <c r="C118" s="74">
        <v>47089</v>
      </c>
    </row>
    <row r="119" spans="1:3">
      <c r="A119" s="74" t="s">
        <v>44</v>
      </c>
      <c r="B119" s="74" t="s">
        <v>84</v>
      </c>
      <c r="C119" s="74">
        <v>51234</v>
      </c>
    </row>
    <row r="120" spans="1:3">
      <c r="A120" s="74" t="s">
        <v>44</v>
      </c>
      <c r="B120" s="74" t="s">
        <v>85</v>
      </c>
      <c r="C120" s="74">
        <v>32000</v>
      </c>
    </row>
    <row r="121" spans="1:3">
      <c r="A121" s="74" t="s">
        <v>45</v>
      </c>
      <c r="B121" s="74" t="s">
        <v>77</v>
      </c>
      <c r="C121" s="74">
        <v>899</v>
      </c>
    </row>
    <row r="122" spans="1:3">
      <c r="A122" s="74" t="s">
        <v>45</v>
      </c>
      <c r="B122" s="74" t="s">
        <v>78</v>
      </c>
      <c r="C122" s="74">
        <v>1700</v>
      </c>
    </row>
    <row r="123" spans="1:3">
      <c r="A123" s="74" t="s">
        <v>45</v>
      </c>
      <c r="B123" s="74" t="s">
        <v>86</v>
      </c>
      <c r="C123" s="74">
        <v>2300</v>
      </c>
    </row>
    <row r="124" spans="1:3">
      <c r="A124" s="74" t="s">
        <v>45</v>
      </c>
      <c r="B124" s="74" t="s">
        <v>87</v>
      </c>
      <c r="C124" s="74">
        <v>3100</v>
      </c>
    </row>
    <row r="125" spans="1:3">
      <c r="A125" s="74" t="s">
        <v>45</v>
      </c>
      <c r="B125" s="74" t="s">
        <v>88</v>
      </c>
      <c r="C125" s="74">
        <v>2400</v>
      </c>
    </row>
    <row r="126" spans="1:3">
      <c r="A126" s="74" t="s">
        <v>45</v>
      </c>
      <c r="B126" s="74" t="s">
        <v>89</v>
      </c>
      <c r="C126" s="74">
        <v>992</v>
      </c>
    </row>
    <row r="127" spans="1:3">
      <c r="A127" s="74" t="s">
        <v>45</v>
      </c>
      <c r="B127" s="74" t="s">
        <v>90</v>
      </c>
      <c r="C127" s="74">
        <v>1400</v>
      </c>
    </row>
    <row r="128" spans="1:3">
      <c r="A128" s="74" t="s">
        <v>45</v>
      </c>
      <c r="B128" s="74" t="s">
        <v>91</v>
      </c>
      <c r="C128" s="74">
        <v>1300</v>
      </c>
    </row>
    <row r="129" spans="1:3">
      <c r="A129" s="74" t="s">
        <v>45</v>
      </c>
      <c r="B129" s="74" t="s">
        <v>92</v>
      </c>
      <c r="C129" s="74">
        <v>3466</v>
      </c>
    </row>
    <row r="130" spans="1:3">
      <c r="A130" s="74" t="s">
        <v>45</v>
      </c>
      <c r="B130" s="74" t="s">
        <v>93</v>
      </c>
      <c r="C130" s="74">
        <v>2456</v>
      </c>
    </row>
    <row r="131" spans="1:3">
      <c r="A131" s="74" t="s">
        <v>45</v>
      </c>
      <c r="B131" s="74" t="s">
        <v>94</v>
      </c>
      <c r="C131" s="74">
        <v>1234</v>
      </c>
    </row>
    <row r="132" spans="1:3">
      <c r="A132" s="74" t="s">
        <v>45</v>
      </c>
      <c r="B132" s="74" t="s">
        <v>95</v>
      </c>
      <c r="C132" s="74">
        <v>4321</v>
      </c>
    </row>
    <row r="133" spans="1:3">
      <c r="A133" s="74" t="s">
        <v>45</v>
      </c>
      <c r="B133" s="74" t="s">
        <v>84</v>
      </c>
      <c r="C133" s="74">
        <v>2341</v>
      </c>
    </row>
    <row r="134" spans="1:3">
      <c r="A134" s="74" t="s">
        <v>45</v>
      </c>
      <c r="B134" s="74" t="s">
        <v>85</v>
      </c>
      <c r="C134" s="74">
        <v>3421</v>
      </c>
    </row>
    <row r="135" spans="1:3">
      <c r="A135" s="74" t="s">
        <v>46</v>
      </c>
      <c r="B135" s="74" t="s">
        <v>77</v>
      </c>
      <c r="C135" s="74">
        <v>456</v>
      </c>
    </row>
    <row r="136" spans="1:3">
      <c r="A136" s="74" t="s">
        <v>46</v>
      </c>
      <c r="B136" s="74" t="s">
        <v>78</v>
      </c>
      <c r="C136" s="74">
        <v>817</v>
      </c>
    </row>
    <row r="137" spans="1:3">
      <c r="A137" s="74" t="s">
        <v>46</v>
      </c>
      <c r="B137" s="74" t="s">
        <v>86</v>
      </c>
      <c r="C137" s="74">
        <v>1100</v>
      </c>
    </row>
    <row r="138" spans="1:3">
      <c r="A138" s="74" t="s">
        <v>46</v>
      </c>
      <c r="B138" s="74" t="s">
        <v>87</v>
      </c>
      <c r="C138" s="74">
        <v>859</v>
      </c>
    </row>
    <row r="139" spans="1:3">
      <c r="A139" s="74" t="s">
        <v>46</v>
      </c>
      <c r="B139" s="74" t="s">
        <v>88</v>
      </c>
      <c r="C139" s="74">
        <v>731</v>
      </c>
    </row>
    <row r="140" spans="1:3">
      <c r="A140" s="74" t="s">
        <v>46</v>
      </c>
      <c r="B140" s="74" t="s">
        <v>89</v>
      </c>
      <c r="C140" s="74">
        <v>394</v>
      </c>
    </row>
    <row r="141" spans="1:3">
      <c r="A141" s="74" t="s">
        <v>46</v>
      </c>
      <c r="B141" s="74" t="s">
        <v>90</v>
      </c>
      <c r="C141" s="74">
        <v>446</v>
      </c>
    </row>
    <row r="142" spans="1:3">
      <c r="A142" s="74" t="s">
        <v>46</v>
      </c>
      <c r="B142" s="74" t="s">
        <v>91</v>
      </c>
      <c r="C142" s="74">
        <v>527</v>
      </c>
    </row>
    <row r="143" spans="1:3">
      <c r="A143" s="74" t="s">
        <v>46</v>
      </c>
      <c r="B143" s="74" t="s">
        <v>92</v>
      </c>
      <c r="C143" s="74">
        <v>1240</v>
      </c>
    </row>
    <row r="144" spans="1:3">
      <c r="A144" s="74" t="s">
        <v>46</v>
      </c>
      <c r="B144" s="74" t="s">
        <v>93</v>
      </c>
      <c r="C144" s="74">
        <v>980</v>
      </c>
    </row>
    <row r="145" spans="1:3">
      <c r="A145" s="74" t="s">
        <v>46</v>
      </c>
      <c r="B145" s="74" t="s">
        <v>94</v>
      </c>
      <c r="C145" s="74">
        <v>970</v>
      </c>
    </row>
    <row r="146" spans="1:3">
      <c r="A146" s="74" t="s">
        <v>46</v>
      </c>
      <c r="B146" s="74" t="s">
        <v>95</v>
      </c>
      <c r="C146" s="74">
        <v>567</v>
      </c>
    </row>
    <row r="147" spans="1:3">
      <c r="A147" s="74" t="s">
        <v>46</v>
      </c>
      <c r="B147" s="74" t="s">
        <v>84</v>
      </c>
      <c r="C147" s="74">
        <v>657</v>
      </c>
    </row>
    <row r="148" spans="1:3">
      <c r="A148" s="74" t="s">
        <v>46</v>
      </c>
      <c r="B148" s="74" t="s">
        <v>85</v>
      </c>
      <c r="C148" s="74">
        <v>598</v>
      </c>
    </row>
    <row r="149" spans="1:3">
      <c r="A149" s="74" t="s">
        <v>47</v>
      </c>
      <c r="B149" s="74" t="s">
        <v>77</v>
      </c>
      <c r="C149" s="74">
        <v>1034</v>
      </c>
    </row>
    <row r="150" spans="1:3">
      <c r="A150" s="74" t="s">
        <v>47</v>
      </c>
      <c r="B150" s="74" t="s">
        <v>78</v>
      </c>
      <c r="C150" s="74">
        <v>1800</v>
      </c>
    </row>
    <row r="151" spans="1:3">
      <c r="A151" s="74" t="s">
        <v>47</v>
      </c>
      <c r="B151" s="74" t="s">
        <v>86</v>
      </c>
      <c r="C151" s="74">
        <v>1900</v>
      </c>
    </row>
    <row r="152" spans="1:3">
      <c r="A152" s="74" t="s">
        <v>47</v>
      </c>
      <c r="B152" s="74" t="s">
        <v>87</v>
      </c>
      <c r="C152" s="74">
        <v>1300</v>
      </c>
    </row>
    <row r="153" spans="1:3">
      <c r="A153" s="74" t="s">
        <v>47</v>
      </c>
      <c r="B153" s="74" t="s">
        <v>88</v>
      </c>
      <c r="C153" s="74">
        <v>1200</v>
      </c>
    </row>
    <row r="154" spans="1:3">
      <c r="A154" s="74" t="s">
        <v>47</v>
      </c>
      <c r="B154" s="74" t="s">
        <v>89</v>
      </c>
      <c r="C154" s="74">
        <v>548</v>
      </c>
    </row>
    <row r="155" spans="1:3">
      <c r="A155" s="74" t="s">
        <v>47</v>
      </c>
      <c r="B155" s="74" t="s">
        <v>90</v>
      </c>
      <c r="C155" s="74">
        <v>574</v>
      </c>
    </row>
    <row r="156" spans="1:3">
      <c r="A156" s="74" t="s">
        <v>47</v>
      </c>
      <c r="B156" s="74" t="s">
        <v>91</v>
      </c>
      <c r="C156" s="74">
        <v>576</v>
      </c>
    </row>
    <row r="157" spans="1:3">
      <c r="A157" s="74" t="s">
        <v>47</v>
      </c>
      <c r="B157" s="74" t="s">
        <v>92</v>
      </c>
      <c r="C157" s="74">
        <v>2242</v>
      </c>
    </row>
    <row r="158" spans="1:3">
      <c r="A158" s="74" t="s">
        <v>47</v>
      </c>
      <c r="B158" s="74" t="s">
        <v>93</v>
      </c>
      <c r="C158" s="74">
        <v>768</v>
      </c>
    </row>
    <row r="159" spans="1:3">
      <c r="A159" s="74" t="s">
        <v>47</v>
      </c>
      <c r="B159" s="74" t="s">
        <v>94</v>
      </c>
      <c r="C159" s="74">
        <v>1022</v>
      </c>
    </row>
    <row r="160" spans="1:3">
      <c r="A160" s="74" t="s">
        <v>47</v>
      </c>
      <c r="B160" s="74" t="s">
        <v>95</v>
      </c>
      <c r="C160" s="74">
        <v>456</v>
      </c>
    </row>
    <row r="161" spans="1:3">
      <c r="A161" s="74" t="s">
        <v>47</v>
      </c>
      <c r="B161" s="74" t="s">
        <v>84</v>
      </c>
      <c r="C161" s="74">
        <v>678</v>
      </c>
    </row>
    <row r="162" spans="1:3">
      <c r="A162" s="74" t="s">
        <v>47</v>
      </c>
      <c r="B162" s="74" t="s">
        <v>85</v>
      </c>
      <c r="C162" s="74">
        <v>777</v>
      </c>
    </row>
    <row r="163" spans="1:3">
      <c r="A163" s="74" t="s">
        <v>48</v>
      </c>
      <c r="B163" s="74" t="s">
        <v>77</v>
      </c>
      <c r="C163" s="74">
        <v>342600</v>
      </c>
    </row>
    <row r="164" spans="1:3">
      <c r="A164" s="74" t="s">
        <v>48</v>
      </c>
      <c r="B164" s="74" t="s">
        <v>78</v>
      </c>
      <c r="C164" s="74">
        <v>493400</v>
      </c>
    </row>
    <row r="165" spans="1:3">
      <c r="A165" s="74" t="s">
        <v>48</v>
      </c>
      <c r="B165" s="74" t="s">
        <v>86</v>
      </c>
      <c r="C165" s="74">
        <v>698800</v>
      </c>
    </row>
    <row r="166" spans="1:3">
      <c r="A166" s="74" t="s">
        <v>48</v>
      </c>
      <c r="B166" s="74" t="s">
        <v>87</v>
      </c>
      <c r="C166" s="74">
        <v>613900</v>
      </c>
    </row>
    <row r="167" spans="1:3">
      <c r="A167" s="74" t="s">
        <v>48</v>
      </c>
      <c r="B167" s="74" t="s">
        <v>88</v>
      </c>
      <c r="C167" s="74">
        <v>322100</v>
      </c>
    </row>
    <row r="168" spans="1:3">
      <c r="A168" s="74" t="s">
        <v>48</v>
      </c>
      <c r="B168" s="74" t="s">
        <v>89</v>
      </c>
      <c r="C168" s="74">
        <v>233500</v>
      </c>
    </row>
    <row r="169" spans="1:3">
      <c r="A169" s="74" t="s">
        <v>48</v>
      </c>
      <c r="B169" s="74" t="s">
        <v>90</v>
      </c>
      <c r="C169" s="74">
        <v>207700</v>
      </c>
    </row>
    <row r="170" spans="1:3">
      <c r="A170" s="74" t="s">
        <v>48</v>
      </c>
      <c r="B170" s="74" t="s">
        <v>91</v>
      </c>
      <c r="C170" s="74">
        <v>185800</v>
      </c>
    </row>
    <row r="171" spans="1:3">
      <c r="A171" s="74" t="s">
        <v>48</v>
      </c>
      <c r="B171" s="74" t="s">
        <v>92</v>
      </c>
      <c r="C171" s="74">
        <v>464100</v>
      </c>
    </row>
    <row r="172" spans="1:3">
      <c r="A172" s="74" t="s">
        <v>48</v>
      </c>
      <c r="B172" s="74" t="s">
        <v>93</v>
      </c>
      <c r="C172" s="74">
        <v>450000</v>
      </c>
    </row>
    <row r="173" spans="1:3">
      <c r="A173" s="74" t="s">
        <v>48</v>
      </c>
      <c r="B173" s="74" t="s">
        <v>94</v>
      </c>
      <c r="C173" s="74">
        <v>465789</v>
      </c>
    </row>
    <row r="174" spans="1:3">
      <c r="A174" s="74" t="s">
        <v>48</v>
      </c>
      <c r="B174" s="74" t="s">
        <v>95</v>
      </c>
      <c r="C174" s="74">
        <v>657000</v>
      </c>
    </row>
    <row r="175" spans="1:3">
      <c r="A175" s="74" t="s">
        <v>48</v>
      </c>
      <c r="B175" s="74" t="s">
        <v>84</v>
      </c>
      <c r="C175" s="74">
        <v>451232</v>
      </c>
    </row>
    <row r="176" spans="1:3">
      <c r="A176" s="74" t="s">
        <v>48</v>
      </c>
      <c r="B176" s="74" t="s">
        <v>85</v>
      </c>
      <c r="C176" s="74">
        <v>442789</v>
      </c>
    </row>
    <row r="177" spans="1:3">
      <c r="A177" s="74" t="s">
        <v>49</v>
      </c>
      <c r="B177" s="74" t="s">
        <v>77</v>
      </c>
      <c r="C177" s="74">
        <v>35211</v>
      </c>
    </row>
    <row r="178" spans="1:3">
      <c r="A178" s="74" t="s">
        <v>49</v>
      </c>
      <c r="B178" s="74" t="s">
        <v>78</v>
      </c>
      <c r="C178" s="74">
        <v>1000000</v>
      </c>
    </row>
    <row r="179" spans="1:3">
      <c r="A179" s="74" t="s">
        <v>49</v>
      </c>
      <c r="B179" s="74" t="s">
        <v>86</v>
      </c>
      <c r="C179" s="74">
        <v>1400000</v>
      </c>
    </row>
    <row r="180" spans="1:3">
      <c r="A180" s="74" t="s">
        <v>49</v>
      </c>
      <c r="B180" s="74" t="s">
        <v>87</v>
      </c>
      <c r="C180" s="74">
        <v>454000</v>
      </c>
    </row>
    <row r="181" spans="1:3">
      <c r="A181" s="74" t="s">
        <v>49</v>
      </c>
      <c r="B181" s="74" t="s">
        <v>88</v>
      </c>
      <c r="C181" s="74">
        <v>237000</v>
      </c>
    </row>
    <row r="182" spans="1:3">
      <c r="A182" s="74" t="s">
        <v>49</v>
      </c>
      <c r="B182" s="74" t="s">
        <v>89</v>
      </c>
      <c r="C182" s="74">
        <v>48000</v>
      </c>
    </row>
    <row r="183" spans="1:3">
      <c r="A183" s="74" t="s">
        <v>49</v>
      </c>
      <c r="B183" s="74" t="s">
        <v>90</v>
      </c>
      <c r="C183" s="74">
        <v>241000</v>
      </c>
    </row>
    <row r="184" spans="1:3">
      <c r="A184" s="74" t="s">
        <v>49</v>
      </c>
      <c r="B184" s="74" t="s">
        <v>91</v>
      </c>
      <c r="C184" s="74">
        <v>486000</v>
      </c>
    </row>
    <row r="185" spans="1:3">
      <c r="A185" s="74" t="s">
        <v>49</v>
      </c>
      <c r="B185" s="74" t="s">
        <v>92</v>
      </c>
      <c r="C185" s="74">
        <v>689000</v>
      </c>
    </row>
    <row r="186" spans="1:3">
      <c r="A186" s="74" t="s">
        <v>49</v>
      </c>
      <c r="B186" s="74" t="s">
        <v>93</v>
      </c>
      <c r="C186" s="74">
        <v>700100</v>
      </c>
    </row>
    <row r="187" spans="1:3">
      <c r="A187" s="74" t="s">
        <v>49</v>
      </c>
      <c r="B187" s="74" t="s">
        <v>94</v>
      </c>
      <c r="C187" s="74">
        <v>771222</v>
      </c>
    </row>
    <row r="188" spans="1:3">
      <c r="A188" s="74" t="s">
        <v>49</v>
      </c>
      <c r="B188" s="74" t="s">
        <v>95</v>
      </c>
      <c r="C188" s="74">
        <v>675688</v>
      </c>
    </row>
    <row r="189" spans="1:3">
      <c r="A189" s="74" t="s">
        <v>49</v>
      </c>
      <c r="B189" s="74" t="s">
        <v>84</v>
      </c>
      <c r="C189" s="74">
        <v>564355</v>
      </c>
    </row>
    <row r="190" spans="1:3">
      <c r="A190" s="74" t="s">
        <v>49</v>
      </c>
      <c r="B190" s="74" t="s">
        <v>85</v>
      </c>
      <c r="C190" s="74">
        <v>546788</v>
      </c>
    </row>
    <row r="191" spans="1:3">
      <c r="A191" s="74" t="s">
        <v>50</v>
      </c>
      <c r="B191" s="74" t="s">
        <v>77</v>
      </c>
      <c r="C191" s="74">
        <v>3051</v>
      </c>
    </row>
    <row r="192" spans="1:3">
      <c r="A192" s="74" t="s">
        <v>50</v>
      </c>
      <c r="B192" s="74" t="s">
        <v>78</v>
      </c>
      <c r="C192" s="74">
        <v>53000</v>
      </c>
    </row>
    <row r="193" spans="1:3">
      <c r="A193" s="74" t="s">
        <v>50</v>
      </c>
      <c r="B193" s="74" t="s">
        <v>86</v>
      </c>
      <c r="C193" s="74">
        <v>76000</v>
      </c>
    </row>
    <row r="194" spans="1:3">
      <c r="A194" s="74" t="s">
        <v>50</v>
      </c>
      <c r="B194" s="74" t="s">
        <v>87</v>
      </c>
      <c r="C194" s="74">
        <v>9500</v>
      </c>
    </row>
    <row r="195" spans="1:3">
      <c r="A195" s="74" t="s">
        <v>50</v>
      </c>
      <c r="B195" s="74" t="s">
        <v>88</v>
      </c>
      <c r="C195" s="74">
        <v>6600</v>
      </c>
    </row>
    <row r="196" spans="1:3">
      <c r="A196" s="74" t="s">
        <v>50</v>
      </c>
      <c r="B196" s="74" t="s">
        <v>89</v>
      </c>
      <c r="C196" s="74">
        <v>2129</v>
      </c>
    </row>
    <row r="197" spans="1:3">
      <c r="A197" s="74" t="s">
        <v>50</v>
      </c>
      <c r="B197" s="74" t="s">
        <v>90</v>
      </c>
      <c r="C197" s="74">
        <v>6200</v>
      </c>
    </row>
    <row r="198" spans="1:3">
      <c r="A198" s="74" t="s">
        <v>50</v>
      </c>
      <c r="B198" s="74" t="s">
        <v>91</v>
      </c>
      <c r="C198" s="74">
        <v>7800</v>
      </c>
    </row>
    <row r="199" spans="1:3">
      <c r="A199" s="74" t="s">
        <v>50</v>
      </c>
      <c r="B199" s="74" t="s">
        <v>92</v>
      </c>
      <c r="C199" s="74">
        <v>14000</v>
      </c>
    </row>
    <row r="200" spans="1:3">
      <c r="A200" s="74" t="s">
        <v>50</v>
      </c>
      <c r="B200" s="74" t="s">
        <v>93</v>
      </c>
      <c r="C200" s="74">
        <v>6766</v>
      </c>
    </row>
    <row r="201" spans="1:3">
      <c r="A201" s="74" t="s">
        <v>50</v>
      </c>
      <c r="B201" s="74" t="s">
        <v>94</v>
      </c>
      <c r="C201" s="74">
        <v>7890</v>
      </c>
    </row>
    <row r="202" spans="1:3">
      <c r="A202" s="74" t="s">
        <v>50</v>
      </c>
      <c r="B202" s="74" t="s">
        <v>95</v>
      </c>
      <c r="C202" s="74">
        <v>7689</v>
      </c>
    </row>
    <row r="203" spans="1:3">
      <c r="A203" s="74" t="s">
        <v>50</v>
      </c>
      <c r="B203" s="74" t="s">
        <v>84</v>
      </c>
      <c r="C203" s="74">
        <v>5467</v>
      </c>
    </row>
    <row r="204" spans="1:3">
      <c r="A204" s="74" t="s">
        <v>50</v>
      </c>
      <c r="B204" s="74" t="s">
        <v>85</v>
      </c>
      <c r="C204" s="74">
        <v>6578</v>
      </c>
    </row>
    <row r="205" spans="1:3">
      <c r="A205" s="74" t="s">
        <v>51</v>
      </c>
      <c r="B205" s="74" t="s">
        <v>77</v>
      </c>
      <c r="C205" s="74">
        <v>1267</v>
      </c>
    </row>
    <row r="206" spans="1:3">
      <c r="A206" s="74" t="s">
        <v>51</v>
      </c>
      <c r="B206" s="74" t="s">
        <v>78</v>
      </c>
      <c r="C206" s="74">
        <v>54000</v>
      </c>
    </row>
    <row r="207" spans="1:3">
      <c r="A207" s="74" t="s">
        <v>51</v>
      </c>
      <c r="B207" s="74" t="s">
        <v>86</v>
      </c>
      <c r="C207" s="74">
        <v>75000</v>
      </c>
    </row>
    <row r="208" spans="1:3">
      <c r="A208" s="74" t="s">
        <v>51</v>
      </c>
      <c r="B208" s="74" t="s">
        <v>87</v>
      </c>
      <c r="C208" s="74">
        <v>29000</v>
      </c>
    </row>
    <row r="209" spans="1:3">
      <c r="A209" s="74" t="s">
        <v>51</v>
      </c>
      <c r="B209" s="74" t="s">
        <v>88</v>
      </c>
      <c r="C209" s="74">
        <v>19000</v>
      </c>
    </row>
    <row r="210" spans="1:3">
      <c r="A210" s="74" t="s">
        <v>51</v>
      </c>
      <c r="B210" s="74" t="s">
        <v>89</v>
      </c>
      <c r="C210" s="74">
        <v>2248</v>
      </c>
    </row>
    <row r="211" spans="1:3">
      <c r="A211" s="74" t="s">
        <v>51</v>
      </c>
      <c r="B211" s="74" t="s">
        <v>90</v>
      </c>
      <c r="C211" s="74">
        <v>20000</v>
      </c>
    </row>
    <row r="212" spans="1:3">
      <c r="A212" s="74" t="s">
        <v>51</v>
      </c>
      <c r="B212" s="74" t="s">
        <v>91</v>
      </c>
      <c r="C212" s="74">
        <v>35000</v>
      </c>
    </row>
    <row r="213" spans="1:3">
      <c r="A213" s="74" t="s">
        <v>51</v>
      </c>
      <c r="B213" s="74" t="s">
        <v>92</v>
      </c>
      <c r="C213" s="74">
        <v>52000</v>
      </c>
    </row>
    <row r="214" spans="1:3">
      <c r="A214" s="74" t="s">
        <v>51</v>
      </c>
      <c r="B214" s="74" t="s">
        <v>93</v>
      </c>
      <c r="C214" s="74">
        <v>43555</v>
      </c>
    </row>
    <row r="215" spans="1:3">
      <c r="A215" s="74" t="s">
        <v>51</v>
      </c>
      <c r="B215" s="74" t="s">
        <v>94</v>
      </c>
      <c r="C215" s="74">
        <v>54333</v>
      </c>
    </row>
    <row r="216" spans="1:3">
      <c r="A216" s="74" t="s">
        <v>51</v>
      </c>
      <c r="B216" s="74" t="s">
        <v>95</v>
      </c>
      <c r="C216" s="74">
        <v>34222</v>
      </c>
    </row>
    <row r="217" spans="1:3">
      <c r="A217" s="74" t="s">
        <v>51</v>
      </c>
      <c r="B217" s="74" t="s">
        <v>84</v>
      </c>
      <c r="C217" s="74">
        <v>23444</v>
      </c>
    </row>
    <row r="218" spans="1:3">
      <c r="A218" s="74" t="s">
        <v>51</v>
      </c>
      <c r="B218" s="74" t="s">
        <v>85</v>
      </c>
      <c r="C218" s="74">
        <v>44566</v>
      </c>
    </row>
    <row r="219" spans="1:3">
      <c r="A219" s="74" t="s">
        <v>52</v>
      </c>
      <c r="B219" s="74" t="s">
        <v>77</v>
      </c>
      <c r="C219" s="74">
        <v>158</v>
      </c>
    </row>
    <row r="220" spans="1:3">
      <c r="A220" s="74" t="s">
        <v>52</v>
      </c>
      <c r="B220" s="74" t="s">
        <v>78</v>
      </c>
      <c r="C220" s="74">
        <v>1248</v>
      </c>
    </row>
    <row r="221" spans="1:3">
      <c r="A221" s="74" t="s">
        <v>52</v>
      </c>
      <c r="B221" s="74" t="s">
        <v>86</v>
      </c>
      <c r="C221" s="74">
        <v>1400</v>
      </c>
    </row>
    <row r="222" spans="1:3">
      <c r="A222" s="74" t="s">
        <v>52</v>
      </c>
      <c r="B222" s="74" t="s">
        <v>87</v>
      </c>
      <c r="C222" s="74">
        <v>524</v>
      </c>
    </row>
    <row r="223" spans="1:3">
      <c r="A223" s="74" t="s">
        <v>52</v>
      </c>
      <c r="B223" s="74" t="s">
        <v>88</v>
      </c>
      <c r="C223" s="74">
        <v>321</v>
      </c>
    </row>
    <row r="224" spans="1:3">
      <c r="A224" s="74" t="s">
        <v>52</v>
      </c>
      <c r="B224" s="74" t="s">
        <v>89</v>
      </c>
      <c r="C224" s="74">
        <v>65</v>
      </c>
    </row>
    <row r="225" spans="1:3">
      <c r="A225" s="74" t="s">
        <v>52</v>
      </c>
      <c r="B225" s="74" t="s">
        <v>90</v>
      </c>
      <c r="C225" s="74">
        <v>333</v>
      </c>
    </row>
    <row r="226" spans="1:3">
      <c r="A226" s="74" t="s">
        <v>52</v>
      </c>
      <c r="B226" s="74" t="s">
        <v>91</v>
      </c>
      <c r="C226" s="74">
        <v>378</v>
      </c>
    </row>
    <row r="227" spans="1:3">
      <c r="A227" s="74" t="s">
        <v>52</v>
      </c>
      <c r="B227" s="74" t="s">
        <v>92</v>
      </c>
      <c r="C227" s="74">
        <v>784</v>
      </c>
    </row>
    <row r="228" spans="1:3">
      <c r="A228" s="74" t="s">
        <v>52</v>
      </c>
      <c r="B228" s="74" t="s">
        <v>93</v>
      </c>
      <c r="C228" s="74">
        <v>768</v>
      </c>
    </row>
    <row r="229" spans="1:3">
      <c r="A229" s="74" t="s">
        <v>52</v>
      </c>
      <c r="B229" s="74" t="s">
        <v>94</v>
      </c>
      <c r="C229" s="74">
        <v>657</v>
      </c>
    </row>
    <row r="230" spans="1:3">
      <c r="A230" s="74" t="s">
        <v>52</v>
      </c>
      <c r="B230" s="74" t="s">
        <v>95</v>
      </c>
      <c r="C230" s="74">
        <v>678</v>
      </c>
    </row>
    <row r="231" spans="1:3">
      <c r="A231" s="74" t="s">
        <v>52</v>
      </c>
      <c r="B231" s="74" t="s">
        <v>84</v>
      </c>
      <c r="C231" s="74">
        <v>645</v>
      </c>
    </row>
    <row r="232" spans="1:3">
      <c r="A232" s="74" t="s">
        <v>52</v>
      </c>
      <c r="B232" s="74" t="s">
        <v>85</v>
      </c>
      <c r="C232" s="74">
        <v>578</v>
      </c>
    </row>
    <row r="233" spans="1:3">
      <c r="A233" s="74" t="s">
        <v>53</v>
      </c>
      <c r="B233" s="74" t="s">
        <v>77</v>
      </c>
      <c r="C233" s="74">
        <v>36</v>
      </c>
    </row>
    <row r="234" spans="1:3">
      <c r="A234" s="74" t="s">
        <v>53</v>
      </c>
      <c r="B234" s="74" t="s">
        <v>78</v>
      </c>
      <c r="C234" s="74">
        <v>1819</v>
      </c>
    </row>
    <row r="235" spans="1:3">
      <c r="A235" s="74" t="s">
        <v>53</v>
      </c>
      <c r="B235" s="74" t="s">
        <v>86</v>
      </c>
      <c r="C235" s="74">
        <v>2000</v>
      </c>
    </row>
    <row r="236" spans="1:3">
      <c r="A236" s="74" t="s">
        <v>53</v>
      </c>
      <c r="B236" s="74" t="s">
        <v>87</v>
      </c>
      <c r="C236" s="74">
        <v>1400</v>
      </c>
    </row>
    <row r="237" spans="1:3">
      <c r="A237" s="74" t="s">
        <v>53</v>
      </c>
      <c r="B237" s="74" t="s">
        <v>88</v>
      </c>
      <c r="C237" s="74">
        <v>992</v>
      </c>
    </row>
    <row r="238" spans="1:3">
      <c r="A238" s="74" t="s">
        <v>53</v>
      </c>
      <c r="B238" s="74" t="s">
        <v>89</v>
      </c>
      <c r="C238" s="74">
        <v>1312</v>
      </c>
    </row>
    <row r="239" spans="1:3">
      <c r="A239" s="74" t="s">
        <v>53</v>
      </c>
      <c r="B239" s="74" t="s">
        <v>90</v>
      </c>
      <c r="C239" s="74">
        <v>708</v>
      </c>
    </row>
    <row r="240" spans="1:3">
      <c r="A240" s="74" t="s">
        <v>53</v>
      </c>
      <c r="B240" s="74" t="s">
        <v>91</v>
      </c>
      <c r="C240" s="74">
        <v>882</v>
      </c>
    </row>
    <row r="241" spans="1:3">
      <c r="A241" s="74" t="s">
        <v>53</v>
      </c>
      <c r="B241" s="74" t="s">
        <v>92</v>
      </c>
      <c r="C241" s="74">
        <v>2300</v>
      </c>
    </row>
    <row r="242" spans="1:3">
      <c r="A242" s="74" t="s">
        <v>53</v>
      </c>
      <c r="B242" s="74" t="s">
        <v>93</v>
      </c>
      <c r="C242" s="74">
        <v>996</v>
      </c>
    </row>
    <row r="243" spans="1:3">
      <c r="A243" s="74" t="s">
        <v>53</v>
      </c>
      <c r="B243" s="74" t="s">
        <v>94</v>
      </c>
      <c r="C243" s="74">
        <v>557</v>
      </c>
    </row>
    <row r="244" spans="1:3">
      <c r="A244" s="74" t="s">
        <v>53</v>
      </c>
      <c r="B244" s="74" t="s">
        <v>95</v>
      </c>
      <c r="C244" s="74">
        <v>658</v>
      </c>
    </row>
    <row r="245" spans="1:3">
      <c r="A245" s="74" t="s">
        <v>53</v>
      </c>
      <c r="B245" s="74" t="s">
        <v>84</v>
      </c>
      <c r="C245" s="74">
        <v>678</v>
      </c>
    </row>
    <row r="246" spans="1:3">
      <c r="A246" s="74" t="s">
        <v>53</v>
      </c>
      <c r="B246" s="74" t="s">
        <v>85</v>
      </c>
      <c r="C246" s="74">
        <v>654</v>
      </c>
    </row>
    <row r="247" spans="1:3">
      <c r="A247" s="74" t="s">
        <v>54</v>
      </c>
      <c r="B247" s="74" t="s">
        <v>77</v>
      </c>
      <c r="C247" s="74">
        <v>205000</v>
      </c>
    </row>
    <row r="248" spans="1:3">
      <c r="A248" s="74" t="s">
        <v>54</v>
      </c>
      <c r="B248" s="74" t="s">
        <v>78</v>
      </c>
      <c r="C248" s="74">
        <v>43234</v>
      </c>
    </row>
    <row r="249" spans="1:3">
      <c r="A249" s="74" t="s">
        <v>54</v>
      </c>
      <c r="B249" s="74" t="s">
        <v>86</v>
      </c>
      <c r="C249" s="74">
        <v>205000</v>
      </c>
    </row>
    <row r="250" spans="1:3">
      <c r="A250" s="74" t="s">
        <v>54</v>
      </c>
      <c r="B250" s="74" t="s">
        <v>87</v>
      </c>
      <c r="C250" s="74">
        <v>45000</v>
      </c>
    </row>
    <row r="251" spans="1:3">
      <c r="A251" s="74" t="s">
        <v>54</v>
      </c>
      <c r="B251" s="74" t="s">
        <v>88</v>
      </c>
      <c r="C251" s="74">
        <v>30000</v>
      </c>
    </row>
    <row r="252" spans="1:3">
      <c r="A252" s="74" t="s">
        <v>54</v>
      </c>
      <c r="B252" s="74" t="s">
        <v>89</v>
      </c>
      <c r="C252" s="74">
        <v>1312</v>
      </c>
    </row>
    <row r="253" spans="1:3">
      <c r="A253" s="74" t="s">
        <v>54</v>
      </c>
      <c r="B253" s="74" t="s">
        <v>90</v>
      </c>
      <c r="C253" s="74">
        <v>42000</v>
      </c>
    </row>
    <row r="254" spans="1:3">
      <c r="A254" s="74" t="s">
        <v>54</v>
      </c>
      <c r="B254" s="74" t="s">
        <v>91</v>
      </c>
      <c r="C254" s="74">
        <v>184000</v>
      </c>
    </row>
    <row r="255" spans="1:3">
      <c r="A255" s="74" t="s">
        <v>54</v>
      </c>
      <c r="B255" s="74" t="s">
        <v>92</v>
      </c>
      <c r="C255" s="74">
        <v>124000</v>
      </c>
    </row>
    <row r="256" spans="1:3">
      <c r="A256" s="74" t="s">
        <v>54</v>
      </c>
      <c r="B256" s="74" t="s">
        <v>93</v>
      </c>
      <c r="C256" s="74">
        <v>88777</v>
      </c>
    </row>
    <row r="257" spans="1:3">
      <c r="A257" s="74" t="s">
        <v>54</v>
      </c>
      <c r="B257" s="74" t="s">
        <v>94</v>
      </c>
      <c r="C257" s="74">
        <v>43565</v>
      </c>
    </row>
    <row r="258" spans="1:3">
      <c r="A258" s="74" t="s">
        <v>54</v>
      </c>
      <c r="B258" s="74" t="s">
        <v>95</v>
      </c>
      <c r="C258" s="74">
        <v>34333</v>
      </c>
    </row>
    <row r="259" spans="1:3">
      <c r="A259" s="74" t="s">
        <v>54</v>
      </c>
      <c r="B259" s="74" t="s">
        <v>84</v>
      </c>
      <c r="C259" s="74">
        <v>23454</v>
      </c>
    </row>
    <row r="260" spans="1:3">
      <c r="A260" s="74" t="s">
        <v>54</v>
      </c>
      <c r="B260" s="74" t="s">
        <v>85</v>
      </c>
      <c r="C260" s="74">
        <v>45332</v>
      </c>
    </row>
    <row r="261" spans="1:3">
      <c r="A261" s="74" t="s">
        <v>55</v>
      </c>
      <c r="B261" s="74" t="s">
        <v>77</v>
      </c>
      <c r="C261" s="74">
        <v>1100000</v>
      </c>
    </row>
    <row r="262" spans="1:3">
      <c r="A262" s="74" t="s">
        <v>55</v>
      </c>
      <c r="B262" s="74" t="s">
        <v>78</v>
      </c>
      <c r="C262" s="74">
        <v>4600000</v>
      </c>
    </row>
    <row r="263" spans="1:3">
      <c r="A263" s="74" t="s">
        <v>55</v>
      </c>
      <c r="B263" s="74" t="s">
        <v>86</v>
      </c>
      <c r="C263" s="74">
        <v>8100000</v>
      </c>
    </row>
    <row r="264" spans="1:3">
      <c r="A264" s="74" t="s">
        <v>55</v>
      </c>
      <c r="B264" s="74" t="s">
        <v>87</v>
      </c>
      <c r="C264" s="74">
        <v>8600000</v>
      </c>
    </row>
    <row r="265" spans="1:3">
      <c r="A265" s="74" t="s">
        <v>55</v>
      </c>
      <c r="B265" s="74" t="s">
        <v>88</v>
      </c>
      <c r="C265" s="74">
        <v>5820329</v>
      </c>
    </row>
    <row r="266" spans="1:3">
      <c r="A266" s="74" t="s">
        <v>55</v>
      </c>
      <c r="B266" s="74" t="s">
        <v>89</v>
      </c>
      <c r="C266" s="74">
        <v>2300000</v>
      </c>
    </row>
    <row r="267" spans="1:3">
      <c r="A267" s="74" t="s">
        <v>55</v>
      </c>
      <c r="B267" s="74" t="s">
        <v>90</v>
      </c>
      <c r="C267" s="74">
        <v>3100000</v>
      </c>
    </row>
    <row r="268" spans="1:3">
      <c r="A268" s="74" t="s">
        <v>55</v>
      </c>
      <c r="B268" s="74" t="s">
        <v>91</v>
      </c>
      <c r="C268" s="74">
        <v>4100000</v>
      </c>
    </row>
    <row r="269" spans="1:3">
      <c r="A269" s="74" t="s">
        <v>55</v>
      </c>
      <c r="B269" s="74" t="s">
        <v>92</v>
      </c>
      <c r="C269" s="74">
        <v>8400000</v>
      </c>
    </row>
    <row r="270" spans="1:3">
      <c r="A270" s="74" t="s">
        <v>55</v>
      </c>
      <c r="B270" s="74" t="s">
        <v>93</v>
      </c>
      <c r="C270" s="74">
        <v>7800657</v>
      </c>
    </row>
    <row r="271" spans="1:3">
      <c r="A271" s="74" t="s">
        <v>55</v>
      </c>
      <c r="B271" s="74" t="s">
        <v>94</v>
      </c>
      <c r="C271" s="74">
        <v>5675554</v>
      </c>
    </row>
    <row r="272" spans="1:3">
      <c r="A272" s="74" t="s">
        <v>55</v>
      </c>
      <c r="B272" s="74" t="s">
        <v>95</v>
      </c>
      <c r="C272" s="74">
        <v>4321324</v>
      </c>
    </row>
    <row r="273" spans="1:3">
      <c r="A273" s="74" t="s">
        <v>55</v>
      </c>
      <c r="B273" s="74" t="s">
        <v>84</v>
      </c>
      <c r="C273" s="74">
        <v>6541123</v>
      </c>
    </row>
    <row r="274" spans="1:3">
      <c r="A274" s="74" t="s">
        <v>55</v>
      </c>
      <c r="B274" s="74" t="s">
        <v>85</v>
      </c>
      <c r="C274" s="74">
        <v>5987000</v>
      </c>
    </row>
    <row r="275" spans="1:3">
      <c r="A275" s="74" t="s">
        <v>56</v>
      </c>
      <c r="B275" s="74" t="s">
        <v>77</v>
      </c>
      <c r="C275" s="74">
        <v>43000</v>
      </c>
    </row>
    <row r="276" spans="1:3">
      <c r="A276" s="74" t="s">
        <v>56</v>
      </c>
      <c r="B276" s="74" t="s">
        <v>78</v>
      </c>
      <c r="C276" s="74">
        <v>116000</v>
      </c>
    </row>
    <row r="277" spans="1:3">
      <c r="A277" s="74" t="s">
        <v>56</v>
      </c>
      <c r="B277" s="74" t="s">
        <v>86</v>
      </c>
      <c r="C277" s="74">
        <v>169948</v>
      </c>
    </row>
    <row r="278" spans="1:3">
      <c r="A278" s="74" t="s">
        <v>56</v>
      </c>
      <c r="B278" s="74" t="s">
        <v>87</v>
      </c>
      <c r="C278" s="74">
        <v>208554</v>
      </c>
    </row>
    <row r="279" spans="1:3">
      <c r="A279" s="74" t="s">
        <v>56</v>
      </c>
      <c r="B279" s="74" t="s">
        <v>88</v>
      </c>
      <c r="C279" s="74">
        <v>119170</v>
      </c>
    </row>
    <row r="280" spans="1:3">
      <c r="A280" s="74" t="s">
        <v>56</v>
      </c>
      <c r="B280" s="74" t="s">
        <v>89</v>
      </c>
      <c r="C280" s="74">
        <v>30300</v>
      </c>
    </row>
    <row r="281" spans="1:3">
      <c r="A281" s="74" t="s">
        <v>56</v>
      </c>
      <c r="B281" s="74" t="s">
        <v>90</v>
      </c>
      <c r="C281" s="74">
        <v>62500</v>
      </c>
    </row>
    <row r="282" spans="1:3">
      <c r="A282" s="74" t="s">
        <v>56</v>
      </c>
      <c r="B282" s="74" t="s">
        <v>91</v>
      </c>
      <c r="C282" s="74">
        <v>82500</v>
      </c>
    </row>
    <row r="283" spans="1:3">
      <c r="A283" s="74" t="s">
        <v>56</v>
      </c>
      <c r="B283" s="74" t="s">
        <v>92</v>
      </c>
      <c r="C283" s="74">
        <v>195900</v>
      </c>
    </row>
    <row r="284" spans="1:3">
      <c r="A284" s="74" t="s">
        <v>56</v>
      </c>
      <c r="B284" s="74" t="s">
        <v>93</v>
      </c>
      <c r="C284" s="74">
        <v>77867</v>
      </c>
    </row>
    <row r="285" spans="1:3">
      <c r="A285" s="74" t="s">
        <v>56</v>
      </c>
      <c r="B285" s="74" t="s">
        <v>94</v>
      </c>
      <c r="C285" s="74">
        <v>66576</v>
      </c>
    </row>
    <row r="286" spans="1:3">
      <c r="A286" s="74" t="s">
        <v>56</v>
      </c>
      <c r="B286" s="74" t="s">
        <v>95</v>
      </c>
      <c r="C286" s="74">
        <v>66578</v>
      </c>
    </row>
    <row r="287" spans="1:3">
      <c r="A287" s="74" t="s">
        <v>56</v>
      </c>
      <c r="B287" s="74" t="s">
        <v>84</v>
      </c>
      <c r="C287" s="74">
        <v>65788</v>
      </c>
    </row>
    <row r="288" spans="1:3">
      <c r="A288" s="74" t="s">
        <v>56</v>
      </c>
      <c r="B288" s="74" t="s">
        <v>85</v>
      </c>
      <c r="C288" s="74">
        <v>43566</v>
      </c>
    </row>
    <row r="289" spans="1:3">
      <c r="A289" s="74" t="s">
        <v>57</v>
      </c>
      <c r="B289" s="74" t="s">
        <v>77</v>
      </c>
      <c r="C289" s="74">
        <v>999</v>
      </c>
    </row>
    <row r="290" spans="1:3">
      <c r="A290" s="74" t="s">
        <v>57</v>
      </c>
      <c r="B290" s="74" t="s">
        <v>78</v>
      </c>
      <c r="C290" s="74">
        <v>1700</v>
      </c>
    </row>
    <row r="291" spans="1:3">
      <c r="A291" s="74" t="s">
        <v>57</v>
      </c>
      <c r="B291" s="74" t="s">
        <v>86</v>
      </c>
      <c r="C291" s="74">
        <v>1944</v>
      </c>
    </row>
    <row r="292" spans="1:3">
      <c r="A292" s="74" t="s">
        <v>57</v>
      </c>
      <c r="B292" s="74" t="s">
        <v>87</v>
      </c>
      <c r="C292" s="74">
        <v>2305</v>
      </c>
    </row>
    <row r="293" spans="1:3">
      <c r="A293" s="74" t="s">
        <v>57</v>
      </c>
      <c r="B293" s="74" t="s">
        <v>88</v>
      </c>
      <c r="C293" s="74">
        <v>1518</v>
      </c>
    </row>
    <row r="294" spans="1:3">
      <c r="A294" s="74" t="s">
        <v>57</v>
      </c>
      <c r="B294" s="74" t="s">
        <v>89</v>
      </c>
      <c r="C294" s="74">
        <v>1043</v>
      </c>
    </row>
    <row r="295" spans="1:3">
      <c r="A295" s="74" t="s">
        <v>57</v>
      </c>
      <c r="B295" s="74" t="s">
        <v>90</v>
      </c>
      <c r="C295" s="74">
        <v>1271</v>
      </c>
    </row>
    <row r="296" spans="1:3">
      <c r="A296" s="74" t="s">
        <v>57</v>
      </c>
      <c r="B296" s="74" t="s">
        <v>91</v>
      </c>
      <c r="C296" s="74">
        <v>1400</v>
      </c>
    </row>
    <row r="297" spans="1:3">
      <c r="A297" s="74" t="s">
        <v>57</v>
      </c>
      <c r="B297" s="74" t="s">
        <v>92</v>
      </c>
      <c r="C297" s="74">
        <v>2100</v>
      </c>
    </row>
    <row r="298" spans="1:3">
      <c r="A298" s="74" t="s">
        <v>57</v>
      </c>
      <c r="B298" s="74" t="s">
        <v>93</v>
      </c>
      <c r="C298" s="74">
        <v>2122</v>
      </c>
    </row>
    <row r="299" spans="1:3">
      <c r="A299" s="74" t="s">
        <v>57</v>
      </c>
      <c r="B299" s="74" t="s">
        <v>94</v>
      </c>
      <c r="C299" s="74">
        <v>1234</v>
      </c>
    </row>
    <row r="300" spans="1:3">
      <c r="A300" s="74" t="s">
        <v>57</v>
      </c>
      <c r="B300" s="74" t="s">
        <v>95</v>
      </c>
      <c r="C300" s="74">
        <v>1222</v>
      </c>
    </row>
    <row r="301" spans="1:3">
      <c r="A301" s="74" t="s">
        <v>57</v>
      </c>
      <c r="B301" s="74" t="s">
        <v>84</v>
      </c>
      <c r="C301" s="74">
        <v>987</v>
      </c>
    </row>
    <row r="302" spans="1:3">
      <c r="A302" s="74" t="s">
        <v>57</v>
      </c>
      <c r="B302" s="74" t="s">
        <v>85</v>
      </c>
      <c r="C302" s="74">
        <v>1909</v>
      </c>
    </row>
    <row r="303" spans="1:3">
      <c r="A303" s="74" t="s">
        <v>58</v>
      </c>
      <c r="B303" s="74" t="s">
        <v>77</v>
      </c>
      <c r="C303" s="74">
        <v>66756</v>
      </c>
    </row>
    <row r="304" spans="1:3">
      <c r="A304" s="74" t="s">
        <v>58</v>
      </c>
      <c r="B304" s="74" t="s">
        <v>78</v>
      </c>
      <c r="C304" s="74">
        <v>55645</v>
      </c>
    </row>
    <row r="305" spans="1:3">
      <c r="A305" s="74" t="s">
        <v>58</v>
      </c>
      <c r="B305" s="74" t="s">
        <v>86</v>
      </c>
      <c r="C305" s="74">
        <v>99437</v>
      </c>
    </row>
    <row r="306" spans="1:3">
      <c r="A306" s="74" t="s">
        <v>58</v>
      </c>
      <c r="B306" s="74" t="s">
        <v>87</v>
      </c>
      <c r="C306" s="74">
        <v>109549</v>
      </c>
    </row>
    <row r="307" spans="1:3">
      <c r="A307" s="74" t="s">
        <v>58</v>
      </c>
      <c r="B307" s="74" t="s">
        <v>88</v>
      </c>
      <c r="C307" s="74">
        <v>66193</v>
      </c>
    </row>
    <row r="308" spans="1:3">
      <c r="A308" s="74" t="s">
        <v>58</v>
      </c>
      <c r="B308" s="74" t="s">
        <v>89</v>
      </c>
      <c r="C308" s="74">
        <v>41727</v>
      </c>
    </row>
    <row r="309" spans="1:3">
      <c r="A309" s="74" t="s">
        <v>58</v>
      </c>
      <c r="B309" s="74" t="s">
        <v>90</v>
      </c>
      <c r="C309" s="74">
        <v>38035</v>
      </c>
    </row>
    <row r="310" spans="1:3">
      <c r="A310" s="74" t="s">
        <v>58</v>
      </c>
      <c r="B310" s="74" t="s">
        <v>91</v>
      </c>
      <c r="C310" s="74">
        <v>41512</v>
      </c>
    </row>
    <row r="311" spans="1:3">
      <c r="A311" s="74" t="s">
        <v>58</v>
      </c>
      <c r="B311" s="74" t="s">
        <v>92</v>
      </c>
      <c r="C311" s="74">
        <v>111661</v>
      </c>
    </row>
    <row r="312" spans="1:3">
      <c r="A312" s="74" t="s">
        <v>58</v>
      </c>
      <c r="B312" s="74" t="s">
        <v>93</v>
      </c>
      <c r="C312" s="74">
        <v>100989</v>
      </c>
    </row>
    <row r="313" spans="1:3">
      <c r="A313" s="74" t="s">
        <v>58</v>
      </c>
      <c r="B313" s="74" t="s">
        <v>94</v>
      </c>
      <c r="C313" s="74">
        <v>66543</v>
      </c>
    </row>
    <row r="314" spans="1:3">
      <c r="A314" s="74" t="s">
        <v>58</v>
      </c>
      <c r="B314" s="74" t="s">
        <v>95</v>
      </c>
      <c r="C314" s="74">
        <v>87890</v>
      </c>
    </row>
    <row r="315" spans="1:3">
      <c r="A315" s="74" t="s">
        <v>58</v>
      </c>
      <c r="B315" s="74" t="s">
        <v>84</v>
      </c>
      <c r="C315" s="74">
        <v>57666</v>
      </c>
    </row>
    <row r="316" spans="1:3">
      <c r="A316" s="74" t="s">
        <v>58</v>
      </c>
      <c r="B316" s="74" t="s">
        <v>85</v>
      </c>
      <c r="C316" s="74">
        <v>54675</v>
      </c>
    </row>
    <row r="317" spans="1:3">
      <c r="A317" s="74" t="s">
        <v>59</v>
      </c>
      <c r="B317" s="74" t="s">
        <v>77</v>
      </c>
      <c r="C317" s="74">
        <v>17600</v>
      </c>
    </row>
    <row r="318" spans="1:3">
      <c r="A318" s="74" t="s">
        <v>59</v>
      </c>
      <c r="B318" s="74" t="s">
        <v>78</v>
      </c>
      <c r="C318" s="74">
        <v>32400</v>
      </c>
    </row>
    <row r="319" spans="1:3">
      <c r="A319" s="74" t="s">
        <v>59</v>
      </c>
      <c r="B319" s="74" t="s">
        <v>86</v>
      </c>
      <c r="C319" s="74">
        <v>17000</v>
      </c>
    </row>
    <row r="320" spans="1:3">
      <c r="A320" s="74" t="s">
        <v>59</v>
      </c>
      <c r="B320" s="74" t="s">
        <v>87</v>
      </c>
      <c r="C320" s="74">
        <v>22400</v>
      </c>
    </row>
    <row r="321" spans="1:3">
      <c r="A321" s="74" t="s">
        <v>59</v>
      </c>
      <c r="B321" s="74" t="s">
        <v>88</v>
      </c>
      <c r="C321" s="74">
        <v>15600</v>
      </c>
    </row>
    <row r="322" spans="1:3">
      <c r="A322" s="74" t="s">
        <v>59</v>
      </c>
      <c r="B322" s="74" t="s">
        <v>89</v>
      </c>
      <c r="C322" s="74">
        <v>5199</v>
      </c>
    </row>
    <row r="323" spans="1:3">
      <c r="A323" s="74" t="s">
        <v>59</v>
      </c>
      <c r="B323" s="74" t="s">
        <v>90</v>
      </c>
      <c r="C323" s="74">
        <v>4745</v>
      </c>
    </row>
    <row r="324" spans="1:3">
      <c r="A324" s="74" t="s">
        <v>59</v>
      </c>
      <c r="B324" s="74" t="s">
        <v>91</v>
      </c>
      <c r="C324" s="74">
        <v>5639</v>
      </c>
    </row>
    <row r="325" spans="1:3">
      <c r="A325" s="74" t="s">
        <v>59</v>
      </c>
      <c r="B325" s="74" t="s">
        <v>92</v>
      </c>
      <c r="C325" s="74">
        <v>16500</v>
      </c>
    </row>
    <row r="326" spans="1:3">
      <c r="A326" s="74" t="s">
        <v>59</v>
      </c>
      <c r="B326" s="74" t="s">
        <v>93</v>
      </c>
      <c r="C326" s="74">
        <v>4354</v>
      </c>
    </row>
    <row r="327" spans="1:3">
      <c r="A327" s="74" t="s">
        <v>59</v>
      </c>
      <c r="B327" s="74" t="s">
        <v>94</v>
      </c>
      <c r="C327" s="74">
        <v>3243</v>
      </c>
    </row>
    <row r="328" spans="1:3">
      <c r="A328" s="74" t="s">
        <v>59</v>
      </c>
      <c r="B328" s="74" t="s">
        <v>95</v>
      </c>
      <c r="C328" s="74">
        <v>3453</v>
      </c>
    </row>
    <row r="329" spans="1:3">
      <c r="A329" s="74" t="s">
        <v>59</v>
      </c>
      <c r="B329" s="74" t="s">
        <v>84</v>
      </c>
      <c r="C329" s="74">
        <v>5555</v>
      </c>
    </row>
    <row r="330" spans="1:3">
      <c r="A330" s="74" t="s">
        <v>59</v>
      </c>
      <c r="B330" s="74" t="s">
        <v>85</v>
      </c>
      <c r="C330" s="74">
        <v>4365</v>
      </c>
    </row>
    <row r="331" spans="1:3">
      <c r="A331" s="74" t="s">
        <v>60</v>
      </c>
      <c r="B331" s="74" t="s">
        <v>77</v>
      </c>
      <c r="C331" s="74">
        <v>139</v>
      </c>
    </row>
    <row r="332" spans="1:3">
      <c r="A332" s="74" t="s">
        <v>60</v>
      </c>
      <c r="B332" s="74" t="s">
        <v>78</v>
      </c>
      <c r="C332" s="74">
        <v>348</v>
      </c>
    </row>
    <row r="333" spans="1:3">
      <c r="A333" s="74" t="s">
        <v>60</v>
      </c>
      <c r="B333" s="74" t="s">
        <v>86</v>
      </c>
      <c r="C333" s="74">
        <v>611</v>
      </c>
    </row>
    <row r="334" spans="1:3">
      <c r="A334" s="74" t="s">
        <v>60</v>
      </c>
      <c r="B334" s="74" t="s">
        <v>87</v>
      </c>
      <c r="C334" s="74">
        <v>928</v>
      </c>
    </row>
    <row r="335" spans="1:3">
      <c r="A335" s="74" t="s">
        <v>60</v>
      </c>
      <c r="B335" s="74" t="s">
        <v>88</v>
      </c>
      <c r="C335" s="74">
        <v>660</v>
      </c>
    </row>
    <row r="336" spans="1:3">
      <c r="A336" s="74" t="s">
        <v>60</v>
      </c>
      <c r="B336" s="74" t="s">
        <v>89</v>
      </c>
      <c r="C336" s="74">
        <v>236</v>
      </c>
    </row>
    <row r="337" spans="1:3">
      <c r="A337" s="74" t="s">
        <v>60</v>
      </c>
      <c r="B337" s="74" t="s">
        <v>90</v>
      </c>
      <c r="C337" s="74">
        <v>329</v>
      </c>
    </row>
    <row r="338" spans="1:3">
      <c r="A338" s="74" t="s">
        <v>60</v>
      </c>
      <c r="B338" s="74" t="s">
        <v>91</v>
      </c>
      <c r="C338" s="74">
        <v>388</v>
      </c>
    </row>
    <row r="339" spans="1:3">
      <c r="A339" s="74" t="s">
        <v>60</v>
      </c>
      <c r="B339" s="74" t="s">
        <v>92</v>
      </c>
      <c r="C339" s="74">
        <v>623</v>
      </c>
    </row>
    <row r="340" spans="1:3">
      <c r="A340" s="74" t="s">
        <v>60</v>
      </c>
      <c r="B340" s="74" t="s">
        <v>93</v>
      </c>
      <c r="C340" s="74">
        <v>343</v>
      </c>
    </row>
    <row r="341" spans="1:3">
      <c r="A341" s="74" t="s">
        <v>60</v>
      </c>
      <c r="B341" s="74" t="s">
        <v>94</v>
      </c>
      <c r="C341" s="74">
        <v>454</v>
      </c>
    </row>
    <row r="342" spans="1:3">
      <c r="A342" s="74" t="s">
        <v>60</v>
      </c>
      <c r="B342" s="74" t="s">
        <v>95</v>
      </c>
      <c r="C342" s="74">
        <v>576</v>
      </c>
    </row>
    <row r="343" spans="1:3">
      <c r="A343" s="74" t="s">
        <v>60</v>
      </c>
      <c r="B343" s="74" t="s">
        <v>84</v>
      </c>
      <c r="C343" s="74">
        <v>538</v>
      </c>
    </row>
    <row r="344" spans="1:3">
      <c r="A344" s="74" t="s">
        <v>60</v>
      </c>
      <c r="B344" s="74" t="s">
        <v>85</v>
      </c>
      <c r="C344" s="74">
        <v>527</v>
      </c>
    </row>
    <row r="345" spans="1:3">
      <c r="A345" s="74" t="s">
        <v>61</v>
      </c>
      <c r="B345" s="74" t="s">
        <v>77</v>
      </c>
      <c r="C345" s="74">
        <v>1070000</v>
      </c>
    </row>
    <row r="346" spans="1:3">
      <c r="A346" s="74" t="s">
        <v>61</v>
      </c>
      <c r="B346" s="74" t="s">
        <v>78</v>
      </c>
      <c r="C346" s="74">
        <v>2700000</v>
      </c>
    </row>
    <row r="347" spans="1:3">
      <c r="A347" s="74" t="s">
        <v>61</v>
      </c>
      <c r="B347" s="74" t="s">
        <v>86</v>
      </c>
      <c r="C347" s="74">
        <v>4400000</v>
      </c>
    </row>
    <row r="348" spans="1:3">
      <c r="A348" s="74" t="s">
        <v>61</v>
      </c>
      <c r="B348" s="74" t="s">
        <v>87</v>
      </c>
      <c r="C348" s="74">
        <v>4300000</v>
      </c>
    </row>
    <row r="349" spans="1:3">
      <c r="A349" s="74" t="s">
        <v>61</v>
      </c>
      <c r="B349" s="74" t="s">
        <v>88</v>
      </c>
      <c r="C349" s="74">
        <v>5000000</v>
      </c>
    </row>
    <row r="350" spans="1:3">
      <c r="A350" s="74" t="s">
        <v>61</v>
      </c>
      <c r="B350" s="74" t="s">
        <v>89</v>
      </c>
      <c r="C350" s="74">
        <v>3200000</v>
      </c>
    </row>
    <row r="351" spans="1:3">
      <c r="A351" s="74" t="s">
        <v>61</v>
      </c>
      <c r="B351" s="74" t="s">
        <v>90</v>
      </c>
      <c r="C351" s="74">
        <v>3600000</v>
      </c>
    </row>
    <row r="352" spans="1:3">
      <c r="A352" s="74" t="s">
        <v>61</v>
      </c>
      <c r="B352" s="74" t="s">
        <v>91</v>
      </c>
      <c r="C352" s="74">
        <v>3500000</v>
      </c>
    </row>
    <row r="353" spans="1:3">
      <c r="A353" s="74" t="s">
        <v>61</v>
      </c>
      <c r="B353" s="74" t="s">
        <v>92</v>
      </c>
      <c r="C353" s="74">
        <v>6700000</v>
      </c>
    </row>
    <row r="354" spans="1:3">
      <c r="A354" s="74" t="s">
        <v>61</v>
      </c>
      <c r="B354" s="74" t="s">
        <v>93</v>
      </c>
      <c r="C354" s="74">
        <v>6545768</v>
      </c>
    </row>
    <row r="355" spans="1:3">
      <c r="A355" s="74" t="s">
        <v>61</v>
      </c>
      <c r="B355" s="74" t="s">
        <v>94</v>
      </c>
      <c r="C355" s="74">
        <v>5454677</v>
      </c>
    </row>
    <row r="356" spans="1:3">
      <c r="A356" s="74" t="s">
        <v>61</v>
      </c>
      <c r="B356" s="74" t="s">
        <v>95</v>
      </c>
      <c r="C356" s="74">
        <v>3232111</v>
      </c>
    </row>
    <row r="357" spans="1:3">
      <c r="A357" s="74" t="s">
        <v>61</v>
      </c>
      <c r="B357" s="74" t="s">
        <v>84</v>
      </c>
      <c r="C357" s="74">
        <v>6500000</v>
      </c>
    </row>
    <row r="358" spans="1:3">
      <c r="A358" s="74" t="s">
        <v>61</v>
      </c>
      <c r="B358" s="74" t="s">
        <v>85</v>
      </c>
      <c r="C358" s="74">
        <v>5444333</v>
      </c>
    </row>
    <row r="359" spans="1:3">
      <c r="A359" s="74" t="s">
        <v>62</v>
      </c>
      <c r="B359" s="74" t="s">
        <v>77</v>
      </c>
      <c r="C359" s="74">
        <v>271200</v>
      </c>
    </row>
    <row r="360" spans="1:3">
      <c r="A360" s="74" t="s">
        <v>62</v>
      </c>
      <c r="B360" s="74" t="s">
        <v>78</v>
      </c>
      <c r="C360" s="74">
        <v>286700</v>
      </c>
    </row>
    <row r="361" spans="1:3">
      <c r="A361" s="74" t="s">
        <v>62</v>
      </c>
      <c r="B361" s="74" t="s">
        <v>86</v>
      </c>
      <c r="C361" s="74">
        <v>396200</v>
      </c>
    </row>
    <row r="362" spans="1:3">
      <c r="A362" s="74" t="s">
        <v>62</v>
      </c>
      <c r="B362" s="74" t="s">
        <v>87</v>
      </c>
      <c r="C362" s="74">
        <v>341100</v>
      </c>
    </row>
    <row r="363" spans="1:3">
      <c r="A363" s="74" t="s">
        <v>62</v>
      </c>
      <c r="B363" s="74" t="s">
        <v>88</v>
      </c>
      <c r="C363" s="74">
        <v>430000</v>
      </c>
    </row>
    <row r="364" spans="1:3">
      <c r="A364" s="74" t="s">
        <v>62</v>
      </c>
      <c r="B364" s="74" t="s">
        <v>89</v>
      </c>
      <c r="C364" s="74">
        <v>257100</v>
      </c>
    </row>
    <row r="365" spans="1:3">
      <c r="A365" s="74" t="s">
        <v>62</v>
      </c>
      <c r="B365" s="74" t="s">
        <v>90</v>
      </c>
      <c r="C365" s="74">
        <v>464400</v>
      </c>
    </row>
    <row r="366" spans="1:3">
      <c r="A366" s="74" t="s">
        <v>62</v>
      </c>
      <c r="B366" s="74" t="s">
        <v>91</v>
      </c>
      <c r="C366" s="74">
        <v>382132</v>
      </c>
    </row>
    <row r="367" spans="1:3">
      <c r="A367" s="74" t="s">
        <v>62</v>
      </c>
      <c r="B367" s="74" t="s">
        <v>92</v>
      </c>
      <c r="C367" s="74">
        <v>590262</v>
      </c>
    </row>
    <row r="368" spans="1:3">
      <c r="A368" s="74" t="s">
        <v>62</v>
      </c>
      <c r="B368" s="74" t="s">
        <v>93</v>
      </c>
      <c r="C368" s="74">
        <v>324356</v>
      </c>
    </row>
    <row r="369" spans="1:3">
      <c r="A369" s="74" t="s">
        <v>62</v>
      </c>
      <c r="B369" s="74" t="s">
        <v>94</v>
      </c>
      <c r="C369" s="74">
        <v>657444</v>
      </c>
    </row>
    <row r="370" spans="1:3">
      <c r="A370" s="74" t="s">
        <v>62</v>
      </c>
      <c r="B370" s="74" t="s">
        <v>95</v>
      </c>
      <c r="C370" s="74">
        <v>456444</v>
      </c>
    </row>
    <row r="371" spans="1:3">
      <c r="A371" s="74" t="s">
        <v>62</v>
      </c>
      <c r="B371" s="74" t="s">
        <v>84</v>
      </c>
      <c r="C371" s="74">
        <v>756444</v>
      </c>
    </row>
    <row r="372" spans="1:3">
      <c r="A372" s="74" t="s">
        <v>62</v>
      </c>
      <c r="B372" s="74" t="s">
        <v>85</v>
      </c>
      <c r="C372" s="74">
        <v>546555</v>
      </c>
    </row>
    <row r="373" spans="1:3">
      <c r="A373" s="74" t="s">
        <v>63</v>
      </c>
      <c r="B373" s="74" t="s">
        <v>77</v>
      </c>
      <c r="C373" s="74">
        <v>14400</v>
      </c>
    </row>
    <row r="374" spans="1:3">
      <c r="A374" s="74" t="s">
        <v>63</v>
      </c>
      <c r="B374" s="74" t="s">
        <v>78</v>
      </c>
      <c r="C374" s="74">
        <v>27400</v>
      </c>
    </row>
    <row r="375" spans="1:3">
      <c r="A375" s="74" t="s">
        <v>63</v>
      </c>
      <c r="B375" s="74" t="s">
        <v>86</v>
      </c>
      <c r="C375" s="74">
        <v>48600</v>
      </c>
    </row>
    <row r="376" spans="1:3">
      <c r="A376" s="74" t="s">
        <v>63</v>
      </c>
      <c r="B376" s="74" t="s">
        <v>87</v>
      </c>
      <c r="C376" s="74">
        <v>58500</v>
      </c>
    </row>
    <row r="377" spans="1:3">
      <c r="A377" s="74" t="s">
        <v>63</v>
      </c>
      <c r="B377" s="74" t="s">
        <v>88</v>
      </c>
      <c r="C377" s="74">
        <v>500000</v>
      </c>
    </row>
    <row r="378" spans="1:3">
      <c r="A378" s="74" t="s">
        <v>63</v>
      </c>
      <c r="B378" s="74" t="s">
        <v>89</v>
      </c>
      <c r="C378" s="74">
        <v>20900</v>
      </c>
    </row>
    <row r="379" spans="1:3">
      <c r="A379" s="74" t="s">
        <v>63</v>
      </c>
      <c r="B379" s="74" t="s">
        <v>90</v>
      </c>
      <c r="C379" s="74">
        <v>34000</v>
      </c>
    </row>
    <row r="380" spans="1:3">
      <c r="A380" s="74" t="s">
        <v>63</v>
      </c>
      <c r="B380" s="74" t="s">
        <v>91</v>
      </c>
      <c r="C380" s="74">
        <v>34800</v>
      </c>
    </row>
    <row r="381" spans="1:3">
      <c r="A381" s="74" t="s">
        <v>63</v>
      </c>
      <c r="B381" s="74" t="s">
        <v>92</v>
      </c>
      <c r="C381" s="74">
        <v>56100</v>
      </c>
    </row>
    <row r="382" spans="1:3">
      <c r="A382" s="74" t="s">
        <v>63</v>
      </c>
      <c r="B382" s="74" t="s">
        <v>93</v>
      </c>
      <c r="C382" s="74">
        <v>44323</v>
      </c>
    </row>
    <row r="383" spans="1:3">
      <c r="A383" s="74" t="s">
        <v>63</v>
      </c>
      <c r="B383" s="74" t="s">
        <v>94</v>
      </c>
      <c r="C383" s="74">
        <v>42345</v>
      </c>
    </row>
    <row r="384" spans="1:3">
      <c r="A384" s="74" t="s">
        <v>63</v>
      </c>
      <c r="B384" s="74" t="s">
        <v>95</v>
      </c>
      <c r="C384" s="74">
        <v>53423</v>
      </c>
    </row>
    <row r="385" spans="1:3">
      <c r="A385" s="74" t="s">
        <v>63</v>
      </c>
      <c r="B385" s="74" t="s">
        <v>84</v>
      </c>
      <c r="C385" s="74">
        <v>61234</v>
      </c>
    </row>
    <row r="386" spans="1:3">
      <c r="A386" s="74" t="s">
        <v>63</v>
      </c>
      <c r="B386" s="74" t="s">
        <v>85</v>
      </c>
      <c r="C386" s="74">
        <v>49876</v>
      </c>
    </row>
    <row r="387" spans="1:3">
      <c r="A387" s="74" t="s">
        <v>64</v>
      </c>
      <c r="B387" s="74" t="s">
        <v>77</v>
      </c>
      <c r="C387" s="74">
        <v>786</v>
      </c>
    </row>
    <row r="388" spans="1:3">
      <c r="A388" s="74" t="s">
        <v>64</v>
      </c>
      <c r="B388" s="74" t="s">
        <v>78</v>
      </c>
      <c r="C388" s="74">
        <v>530</v>
      </c>
    </row>
    <row r="389" spans="1:3">
      <c r="A389" s="74" t="s">
        <v>64</v>
      </c>
      <c r="B389" s="74" t="s">
        <v>86</v>
      </c>
      <c r="C389" s="74">
        <v>934</v>
      </c>
    </row>
    <row r="390" spans="1:3">
      <c r="A390" s="74" t="s">
        <v>64</v>
      </c>
      <c r="B390" s="74" t="s">
        <v>87</v>
      </c>
      <c r="C390" s="74">
        <v>1100</v>
      </c>
    </row>
    <row r="391" spans="1:3">
      <c r="A391" s="74" t="s">
        <v>64</v>
      </c>
      <c r="B391" s="74" t="s">
        <v>88</v>
      </c>
      <c r="C391" s="74">
        <v>957</v>
      </c>
    </row>
    <row r="392" spans="1:3">
      <c r="A392" s="74" t="s">
        <v>64</v>
      </c>
      <c r="B392" s="74" t="s">
        <v>89</v>
      </c>
      <c r="C392" s="74">
        <v>604</v>
      </c>
    </row>
    <row r="393" spans="1:3">
      <c r="A393" s="74" t="s">
        <v>64</v>
      </c>
      <c r="B393" s="74" t="s">
        <v>90</v>
      </c>
      <c r="C393" s="74">
        <v>699</v>
      </c>
    </row>
    <row r="394" spans="1:3">
      <c r="A394" s="74" t="s">
        <v>64</v>
      </c>
      <c r="B394" s="74" t="s">
        <v>91</v>
      </c>
      <c r="C394" s="74">
        <v>750</v>
      </c>
    </row>
    <row r="395" spans="1:3">
      <c r="A395" s="74" t="s">
        <v>64</v>
      </c>
      <c r="B395" s="74" t="s">
        <v>92</v>
      </c>
      <c r="C395" s="74">
        <v>1100</v>
      </c>
    </row>
    <row r="396" spans="1:3">
      <c r="A396" s="74" t="s">
        <v>64</v>
      </c>
      <c r="B396" s="74" t="s">
        <v>93</v>
      </c>
      <c r="C396" s="74">
        <v>967</v>
      </c>
    </row>
    <row r="397" spans="1:3">
      <c r="A397" s="74" t="s">
        <v>64</v>
      </c>
      <c r="B397" s="74" t="s">
        <v>94</v>
      </c>
      <c r="C397" s="74">
        <v>867</v>
      </c>
    </row>
    <row r="398" spans="1:3">
      <c r="A398" s="74" t="s">
        <v>64</v>
      </c>
      <c r="B398" s="74" t="s">
        <v>95</v>
      </c>
      <c r="C398" s="74">
        <v>768</v>
      </c>
    </row>
    <row r="399" spans="1:3">
      <c r="A399" s="74" t="s">
        <v>64</v>
      </c>
      <c r="B399" s="74" t="s">
        <v>84</v>
      </c>
      <c r="C399" s="74">
        <v>897</v>
      </c>
    </row>
    <row r="400" spans="1:3">
      <c r="A400" s="74" t="s">
        <v>64</v>
      </c>
      <c r="B400" s="74" t="s">
        <v>85</v>
      </c>
      <c r="C400" s="74">
        <v>900</v>
      </c>
    </row>
    <row r="401" spans="1:3">
      <c r="A401" s="74" t="s">
        <v>65</v>
      </c>
      <c r="B401" s="74" t="s">
        <v>77</v>
      </c>
      <c r="C401" s="74">
        <v>66576</v>
      </c>
    </row>
    <row r="402" spans="1:3">
      <c r="A402" s="74" t="s">
        <v>65</v>
      </c>
      <c r="B402" s="74" t="s">
        <v>78</v>
      </c>
      <c r="C402" s="74">
        <v>54675</v>
      </c>
    </row>
    <row r="403" spans="1:3">
      <c r="A403" s="74" t="s">
        <v>65</v>
      </c>
      <c r="B403" s="74" t="s">
        <v>86</v>
      </c>
      <c r="C403" s="74">
        <v>70894</v>
      </c>
    </row>
    <row r="404" spans="1:3">
      <c r="A404" s="74" t="s">
        <v>65</v>
      </c>
      <c r="B404" s="74" t="s">
        <v>87</v>
      </c>
      <c r="C404" s="74">
        <v>67467</v>
      </c>
    </row>
    <row r="405" spans="1:3">
      <c r="A405" s="74" t="s">
        <v>65</v>
      </c>
      <c r="B405" s="74" t="s">
        <v>88</v>
      </c>
      <c r="C405" s="74">
        <v>97665</v>
      </c>
    </row>
    <row r="406" spans="1:3">
      <c r="A406" s="74" t="s">
        <v>65</v>
      </c>
      <c r="B406" s="74" t="s">
        <v>89</v>
      </c>
      <c r="C406" s="74">
        <v>84835</v>
      </c>
    </row>
    <row r="407" spans="1:3">
      <c r="A407" s="74" t="s">
        <v>65</v>
      </c>
      <c r="B407" s="74" t="s">
        <v>90</v>
      </c>
      <c r="C407" s="74">
        <v>67792</v>
      </c>
    </row>
    <row r="408" spans="1:3">
      <c r="A408" s="74" t="s">
        <v>65</v>
      </c>
      <c r="B408" s="74" t="s">
        <v>91</v>
      </c>
      <c r="C408" s="74">
        <v>39322</v>
      </c>
    </row>
    <row r="409" spans="1:3">
      <c r="A409" s="74" t="s">
        <v>65</v>
      </c>
      <c r="B409" s="74" t="s">
        <v>92</v>
      </c>
      <c r="C409" s="74">
        <v>72381</v>
      </c>
    </row>
    <row r="410" spans="1:3">
      <c r="A410" s="74" t="s">
        <v>65</v>
      </c>
      <c r="B410" s="74" t="s">
        <v>93</v>
      </c>
      <c r="C410" s="74">
        <v>55645</v>
      </c>
    </row>
    <row r="411" spans="1:3">
      <c r="A411" s="74" t="s">
        <v>65</v>
      </c>
      <c r="B411" s="74" t="s">
        <v>94</v>
      </c>
      <c r="C411" s="74">
        <v>49867</v>
      </c>
    </row>
    <row r="412" spans="1:3">
      <c r="A412" s="74" t="s">
        <v>65</v>
      </c>
      <c r="B412" s="74" t="s">
        <v>95</v>
      </c>
      <c r="C412" s="74">
        <v>63545</v>
      </c>
    </row>
    <row r="413" spans="1:3">
      <c r="A413" s="74" t="s">
        <v>65</v>
      </c>
      <c r="B413" s="74" t="s">
        <v>84</v>
      </c>
      <c r="C413" s="74">
        <v>55768</v>
      </c>
    </row>
    <row r="414" spans="1:3">
      <c r="A414" s="74" t="s">
        <v>65</v>
      </c>
      <c r="B414" s="74" t="s">
        <v>85</v>
      </c>
      <c r="C414" s="74">
        <v>57634</v>
      </c>
    </row>
    <row r="415" spans="1:3">
      <c r="A415" s="74" t="s">
        <v>66</v>
      </c>
      <c r="B415" s="74" t="s">
        <v>77</v>
      </c>
      <c r="C415" s="74">
        <v>989</v>
      </c>
    </row>
    <row r="416" spans="1:3">
      <c r="A416" s="74" t="s">
        <v>66</v>
      </c>
      <c r="B416" s="74" t="s">
        <v>78</v>
      </c>
      <c r="C416" s="74">
        <v>1111</v>
      </c>
    </row>
    <row r="417" spans="1:3">
      <c r="A417" s="74" t="s">
        <v>66</v>
      </c>
      <c r="B417" s="74" t="s">
        <v>86</v>
      </c>
      <c r="C417" s="74">
        <v>1761</v>
      </c>
    </row>
    <row r="418" spans="1:3">
      <c r="A418" s="74" t="s">
        <v>66</v>
      </c>
      <c r="B418" s="74" t="s">
        <v>87</v>
      </c>
      <c r="C418" s="74">
        <v>1565</v>
      </c>
    </row>
    <row r="419" spans="1:3">
      <c r="A419" s="74" t="s">
        <v>66</v>
      </c>
      <c r="B419" s="74" t="s">
        <v>88</v>
      </c>
      <c r="C419" s="74">
        <v>2147</v>
      </c>
    </row>
    <row r="420" spans="1:3">
      <c r="A420" s="74" t="s">
        <v>66</v>
      </c>
      <c r="B420" s="74" t="s">
        <v>89</v>
      </c>
      <c r="C420" s="74">
        <v>1115</v>
      </c>
    </row>
    <row r="421" spans="1:3">
      <c r="A421" s="74" t="s">
        <v>66</v>
      </c>
      <c r="B421" s="74" t="s">
        <v>90</v>
      </c>
      <c r="C421" s="74">
        <v>1211</v>
      </c>
    </row>
    <row r="422" spans="1:3">
      <c r="A422" s="74" t="s">
        <v>66</v>
      </c>
      <c r="B422" s="74" t="s">
        <v>91</v>
      </c>
      <c r="C422" s="74">
        <v>602</v>
      </c>
    </row>
    <row r="423" spans="1:3">
      <c r="A423" s="74" t="s">
        <v>66</v>
      </c>
      <c r="B423" s="74" t="s">
        <v>92</v>
      </c>
      <c r="C423" s="74">
        <v>1340</v>
      </c>
    </row>
    <row r="424" spans="1:3">
      <c r="A424" s="74" t="s">
        <v>66</v>
      </c>
      <c r="B424" s="74" t="s">
        <v>93</v>
      </c>
      <c r="C424" s="74">
        <v>4354</v>
      </c>
    </row>
    <row r="425" spans="1:3">
      <c r="A425" s="74" t="s">
        <v>66</v>
      </c>
      <c r="B425" s="74" t="s">
        <v>94</v>
      </c>
      <c r="C425" s="74">
        <v>2321</v>
      </c>
    </row>
    <row r="426" spans="1:3">
      <c r="A426" s="74" t="s">
        <v>66</v>
      </c>
      <c r="B426" s="74" t="s">
        <v>95</v>
      </c>
      <c r="C426" s="74">
        <v>1987</v>
      </c>
    </row>
    <row r="427" spans="1:3">
      <c r="A427" s="74" t="s">
        <v>66</v>
      </c>
      <c r="B427" s="74" t="s">
        <v>84</v>
      </c>
      <c r="C427" s="74">
        <v>1232</v>
      </c>
    </row>
    <row r="428" spans="1:3">
      <c r="A428" s="74" t="s">
        <v>66</v>
      </c>
      <c r="B428" s="74" t="s">
        <v>85</v>
      </c>
      <c r="C428" s="74">
        <v>890</v>
      </c>
    </row>
    <row r="429" spans="1:3">
      <c r="A429" s="74" t="s">
        <v>67</v>
      </c>
      <c r="B429" s="74" t="s">
        <v>77</v>
      </c>
      <c r="C429" s="74">
        <v>55</v>
      </c>
    </row>
    <row r="430" spans="1:3">
      <c r="A430" s="74" t="s">
        <v>67</v>
      </c>
      <c r="B430" s="74" t="s">
        <v>78</v>
      </c>
      <c r="C430" s="74">
        <v>66</v>
      </c>
    </row>
    <row r="431" spans="1:3">
      <c r="A431" s="74" t="s">
        <v>67</v>
      </c>
      <c r="B431" s="74" t="s">
        <v>86</v>
      </c>
      <c r="C431" s="74">
        <v>76</v>
      </c>
    </row>
    <row r="432" spans="1:3">
      <c r="A432" s="74" t="s">
        <v>67</v>
      </c>
      <c r="B432" s="74" t="s">
        <v>87</v>
      </c>
      <c r="C432" s="74">
        <v>53</v>
      </c>
    </row>
    <row r="433" spans="1:3">
      <c r="A433" s="74" t="s">
        <v>67</v>
      </c>
      <c r="B433" s="74" t="s">
        <v>88</v>
      </c>
      <c r="C433" s="74">
        <v>69</v>
      </c>
    </row>
    <row r="434" spans="1:3">
      <c r="A434" s="74" t="s">
        <v>67</v>
      </c>
      <c r="B434" s="74" t="s">
        <v>89</v>
      </c>
      <c r="C434" s="74">
        <v>33</v>
      </c>
    </row>
    <row r="435" spans="1:3">
      <c r="A435" s="74" t="s">
        <v>67</v>
      </c>
      <c r="B435" s="74" t="s">
        <v>90</v>
      </c>
      <c r="C435" s="74">
        <v>73</v>
      </c>
    </row>
    <row r="436" spans="1:3">
      <c r="A436" s="74" t="s">
        <v>67</v>
      </c>
      <c r="B436" s="74" t="s">
        <v>91</v>
      </c>
      <c r="C436" s="74">
        <v>9</v>
      </c>
    </row>
    <row r="437" spans="1:3">
      <c r="A437" s="74" t="s">
        <v>67</v>
      </c>
      <c r="B437" s="74" t="s">
        <v>92</v>
      </c>
      <c r="C437" s="74">
        <v>48</v>
      </c>
    </row>
    <row r="438" spans="1:3">
      <c r="A438" s="74" t="s">
        <v>67</v>
      </c>
      <c r="B438" s="74" t="s">
        <v>93</v>
      </c>
      <c r="C438" s="74">
        <v>23</v>
      </c>
    </row>
    <row r="439" spans="1:3">
      <c r="A439" s="74" t="s">
        <v>67</v>
      </c>
      <c r="B439" s="74" t="s">
        <v>94</v>
      </c>
      <c r="C439" s="74">
        <v>45</v>
      </c>
    </row>
    <row r="440" spans="1:3">
      <c r="A440" s="74" t="s">
        <v>67</v>
      </c>
      <c r="B440" s="74" t="s">
        <v>95</v>
      </c>
      <c r="C440" s="74">
        <v>32</v>
      </c>
    </row>
    <row r="441" spans="1:3">
      <c r="A441" s="74" t="s">
        <v>67</v>
      </c>
      <c r="B441" s="74" t="s">
        <v>84</v>
      </c>
      <c r="C441" s="74">
        <v>32</v>
      </c>
    </row>
    <row r="442" spans="1:3">
      <c r="A442" s="74" t="s">
        <v>67</v>
      </c>
      <c r="B442" s="74" t="s">
        <v>85</v>
      </c>
      <c r="C442" s="74">
        <v>34</v>
      </c>
    </row>
  </sheetData>
  <sheetProtection selectLockedCells="1"/>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3032-EA5E-43D3-90C6-76764344E01B}">
  <sheetPr codeName="Sheet7">
    <tabColor rgb="FFFF0000"/>
  </sheetPr>
  <dimension ref="A1:AN34"/>
  <sheetViews>
    <sheetView showGridLines="0" zoomScale="54" zoomScaleNormal="40" workbookViewId="0">
      <selection activeCell="D18" sqref="D18"/>
    </sheetView>
  </sheetViews>
  <sheetFormatPr defaultColWidth="8.81640625" defaultRowHeight="16.5"/>
  <cols>
    <col min="1" max="1" width="10.6328125" style="1" bestFit="1" customWidth="1"/>
    <col min="2" max="2" width="8.81640625" style="1"/>
    <col min="3" max="3" width="21.1796875" style="1" bestFit="1" customWidth="1"/>
    <col min="4" max="4" width="11.1796875" style="1" bestFit="1" customWidth="1"/>
    <col min="5" max="5" width="10.54296875" style="1" bestFit="1" customWidth="1"/>
    <col min="6" max="6" width="10" style="1" bestFit="1" customWidth="1"/>
    <col min="7" max="7" width="11" style="1" bestFit="1" customWidth="1"/>
    <col min="8" max="9" width="10.81640625" style="1" bestFit="1" customWidth="1"/>
    <col min="10" max="10" width="11" style="1" bestFit="1" customWidth="1"/>
    <col min="11" max="11" width="11.1796875" style="1" bestFit="1" customWidth="1"/>
    <col min="12" max="12" width="10.54296875" style="1" bestFit="1" customWidth="1"/>
    <col min="13" max="13" width="10.81640625" style="1" bestFit="1" customWidth="1"/>
    <col min="14" max="14" width="11" style="1" bestFit="1" customWidth="1"/>
    <col min="15" max="15" width="10.6328125" style="1" bestFit="1" customWidth="1"/>
    <col min="16" max="16" width="11.1796875" style="1" bestFit="1" customWidth="1"/>
    <col min="17" max="17" width="10.54296875" style="1" bestFit="1" customWidth="1"/>
    <col min="18" max="22" width="8.81640625" style="1"/>
    <col min="23" max="25" width="8.6328125" style="1" customWidth="1"/>
    <col min="26" max="26" width="21.36328125" style="1" bestFit="1" customWidth="1"/>
    <col min="27" max="27" width="8.81640625" style="1"/>
    <col min="28" max="28" width="9.36328125" style="1" bestFit="1" customWidth="1"/>
    <col min="29" max="29" width="13.453125" style="1" bestFit="1" customWidth="1"/>
    <col min="30" max="16384" width="8.81640625" style="1"/>
  </cols>
  <sheetData>
    <row r="1" spans="1:40" ht="17" thickBot="1">
      <c r="A1" s="6" t="s">
        <v>176</v>
      </c>
      <c r="C1" s="7"/>
      <c r="D1" s="7"/>
      <c r="E1" s="7"/>
      <c r="F1" s="7"/>
      <c r="G1" s="8" t="s">
        <v>107</v>
      </c>
      <c r="H1" s="7"/>
      <c r="I1" s="7"/>
      <c r="J1" s="7"/>
      <c r="K1" s="7"/>
      <c r="L1" s="7"/>
    </row>
    <row r="2" spans="1:40" ht="17" thickBot="1">
      <c r="X2" s="92" t="s">
        <v>68</v>
      </c>
      <c r="Y2" s="94"/>
      <c r="Z2" s="93"/>
    </row>
    <row r="3" spans="1:40" ht="17" thickBot="1">
      <c r="A3" s="92" t="s">
        <v>71</v>
      </c>
      <c r="B3" s="93"/>
    </row>
    <row r="4" spans="1:40">
      <c r="C4" s="1" t="s">
        <v>2</v>
      </c>
      <c r="D4" s="9" t="s">
        <v>77</v>
      </c>
      <c r="E4" s="9" t="s">
        <v>78</v>
      </c>
      <c r="F4" s="9" t="s">
        <v>86</v>
      </c>
      <c r="G4" s="9" t="s">
        <v>87</v>
      </c>
      <c r="H4" s="9" t="s">
        <v>88</v>
      </c>
      <c r="I4" s="9" t="s">
        <v>89</v>
      </c>
      <c r="J4" s="9" t="s">
        <v>90</v>
      </c>
      <c r="K4" s="9" t="s">
        <v>91</v>
      </c>
      <c r="L4" s="9" t="s">
        <v>92</v>
      </c>
      <c r="M4" s="9" t="s">
        <v>93</v>
      </c>
      <c r="N4" s="9" t="s">
        <v>94</v>
      </c>
      <c r="O4" s="9" t="s">
        <v>95</v>
      </c>
      <c r="P4" s="9" t="s">
        <v>84</v>
      </c>
      <c r="Q4" s="9" t="s">
        <v>85</v>
      </c>
      <c r="Z4" s="1" t="s">
        <v>2</v>
      </c>
      <c r="AA4" s="9" t="s">
        <v>77</v>
      </c>
      <c r="AB4" s="9" t="s">
        <v>78</v>
      </c>
      <c r="AC4" s="9" t="s">
        <v>86</v>
      </c>
      <c r="AD4" s="9" t="s">
        <v>87</v>
      </c>
      <c r="AE4" s="9" t="s">
        <v>88</v>
      </c>
      <c r="AF4" s="9" t="s">
        <v>89</v>
      </c>
      <c r="AG4" s="9" t="s">
        <v>90</v>
      </c>
      <c r="AH4" s="9" t="s">
        <v>91</v>
      </c>
      <c r="AI4" s="9" t="s">
        <v>92</v>
      </c>
      <c r="AJ4" s="9" t="s">
        <v>93</v>
      </c>
      <c r="AK4" s="9" t="s">
        <v>94</v>
      </c>
      <c r="AL4" s="9" t="s">
        <v>95</v>
      </c>
      <c r="AM4" s="9" t="s">
        <v>84</v>
      </c>
      <c r="AN4" s="9" t="s">
        <v>85</v>
      </c>
    </row>
    <row r="5" spans="1:40">
      <c r="C5" s="1" t="s">
        <v>38</v>
      </c>
      <c r="D5" s="73">
        <v>3</v>
      </c>
      <c r="E5" s="73">
        <v>4</v>
      </c>
      <c r="F5" s="73">
        <v>12</v>
      </c>
      <c r="G5" s="73">
        <v>5</v>
      </c>
      <c r="H5" s="73">
        <v>7</v>
      </c>
      <c r="I5" s="73">
        <v>2</v>
      </c>
      <c r="J5" s="73">
        <v>5</v>
      </c>
      <c r="K5" s="73">
        <v>3</v>
      </c>
      <c r="L5" s="74">
        <v>6</v>
      </c>
      <c r="M5" s="74">
        <v>7</v>
      </c>
      <c r="N5" s="74">
        <v>8</v>
      </c>
      <c r="O5" s="74">
        <v>9</v>
      </c>
      <c r="P5" s="74">
        <v>8</v>
      </c>
      <c r="Q5" s="74">
        <v>4</v>
      </c>
      <c r="Z5" s="1" t="s">
        <v>38</v>
      </c>
      <c r="AA5" s="11"/>
      <c r="AB5" s="12">
        <f>(WomData[[#This Row],[Jun-26]]-WomData[[#This Row],[May-26]])/WomData[[#This Row],[May-26]]</f>
        <v>0.33333333333333331</v>
      </c>
      <c r="AC5" s="12">
        <f>(WomData[[#This Row],[Jul-26]]-WomData[[#This Row],[Jun-26]])/WomData[[#This Row],[Jun-26]]</f>
        <v>2</v>
      </c>
      <c r="AD5" s="12">
        <f>(WomData[[#This Row],[Aug-26]]-WomData[[#This Row],[Jul-26]])/WomData[[#This Row],[Jul-26]]</f>
        <v>-0.58333333333333337</v>
      </c>
      <c r="AE5" s="12">
        <f>(WomData[[#This Row],[Sep-26]]-WomData[[#This Row],[Aug-26]])/WomData[[#This Row],[Aug-26]]</f>
        <v>0.4</v>
      </c>
      <c r="AF5" s="12">
        <f>(WomData[[#This Row],[Oct-26]]-WomData[[#This Row],[Sep-26]])/WomData[[#This Row],[Sep-26]]</f>
        <v>-0.7142857142857143</v>
      </c>
      <c r="AG5" s="12">
        <f>(WomData[[#This Row],[Nov-26]]-WomData[[#This Row],[Oct-26]])/WomData[[#This Row],[Oct-26]]</f>
        <v>1.5</v>
      </c>
      <c r="AH5" s="12">
        <f>(WomData[[#This Row],[Dec-26]]-WomData[[#This Row],[Nov-26]])/WomData[[#This Row],[Nov-26]]</f>
        <v>-0.4</v>
      </c>
      <c r="AI5" s="12">
        <f>(WomData[[#This Row],[Jan-27]]-WomData[[#This Row],[Dec-26]])/WomData[[#This Row],[Dec-26]]</f>
        <v>1</v>
      </c>
      <c r="AJ5" s="12">
        <f>(WomData[[#This Row],[Feb-27]]-WomData[[#This Row],[Jan-27]])/WomData[[#This Row],[Jan-27]]</f>
        <v>0.16666666666666666</v>
      </c>
      <c r="AK5" s="12">
        <f>(WomData[[#This Row],[Mar-27]]-WomData[[#This Row],[Feb-27]])/WomData[[#This Row],[Feb-27]]</f>
        <v>0.14285714285714285</v>
      </c>
      <c r="AL5" s="12">
        <f>(WomData[[#This Row],[Apr-27]]-WomData[[#This Row],[Mar-27]])/WomData[[#This Row],[Mar-27]]</f>
        <v>0.125</v>
      </c>
      <c r="AM5" s="12">
        <f>(WomData[[#This Row],[May-27]]-WomData[[#This Row],[Apr-27]])/WomData[[#This Row],[Apr-27]]</f>
        <v>-0.1111111111111111</v>
      </c>
      <c r="AN5" s="12">
        <f>(WomData[[#This Row],[Jun-27]]-WomData[[#This Row],[May-27]])/WomData[[#This Row],[May-27]]</f>
        <v>-0.5</v>
      </c>
    </row>
    <row r="6" spans="1:40">
      <c r="C6" s="1" t="s">
        <v>39</v>
      </c>
      <c r="D6" s="73">
        <v>3</v>
      </c>
      <c r="E6" s="73">
        <v>4</v>
      </c>
      <c r="F6" s="73">
        <v>12</v>
      </c>
      <c r="G6" s="73">
        <v>5</v>
      </c>
      <c r="H6" s="73">
        <v>7</v>
      </c>
      <c r="I6" s="73">
        <v>2</v>
      </c>
      <c r="J6" s="73">
        <v>5</v>
      </c>
      <c r="K6" s="73">
        <v>3</v>
      </c>
      <c r="L6" s="74">
        <v>6</v>
      </c>
      <c r="M6" s="74">
        <v>7</v>
      </c>
      <c r="N6" s="74">
        <v>8</v>
      </c>
      <c r="O6" s="74">
        <v>9</v>
      </c>
      <c r="P6" s="74">
        <v>8</v>
      </c>
      <c r="Q6" s="74">
        <v>4</v>
      </c>
      <c r="Z6" s="1" t="s">
        <v>39</v>
      </c>
      <c r="AA6" s="11"/>
      <c r="AB6" s="12">
        <f>(WomData[[#This Row],[Jun-26]]-WomData[[#This Row],[May-26]])/WomData[[#This Row],[May-26]]</f>
        <v>0.33333333333333331</v>
      </c>
      <c r="AC6" s="12">
        <f>(WomData[[#This Row],[Jul-26]]-WomData[[#This Row],[Jun-26]])/WomData[[#This Row],[Jun-26]]</f>
        <v>2</v>
      </c>
      <c r="AD6" s="12">
        <f>(WomData[[#This Row],[Aug-26]]-WomData[[#This Row],[Jul-26]])/WomData[[#This Row],[Jul-26]]</f>
        <v>-0.58333333333333337</v>
      </c>
      <c r="AE6" s="12">
        <f>(WomData[[#This Row],[Sep-26]]-WomData[[#This Row],[Aug-26]])/WomData[[#This Row],[Aug-26]]</f>
        <v>0.4</v>
      </c>
      <c r="AF6" s="12">
        <f>(WomData[[#This Row],[Oct-26]]-WomData[[#This Row],[Sep-26]])/WomData[[#This Row],[Sep-26]]</f>
        <v>-0.7142857142857143</v>
      </c>
      <c r="AG6" s="12">
        <f>(WomData[[#This Row],[Nov-26]]-WomData[[#This Row],[Oct-26]])/WomData[[#This Row],[Oct-26]]</f>
        <v>1.5</v>
      </c>
      <c r="AH6" s="12">
        <f>(WomData[[#This Row],[Dec-26]]-WomData[[#This Row],[Nov-26]])/WomData[[#This Row],[Nov-26]]</f>
        <v>-0.4</v>
      </c>
      <c r="AI6" s="12">
        <f>(WomData[[#This Row],[Jan-27]]-WomData[[#This Row],[Dec-26]])/WomData[[#This Row],[Dec-26]]</f>
        <v>1</v>
      </c>
      <c r="AJ6" s="12">
        <f>(WomData[[#This Row],[Feb-27]]-WomData[[#This Row],[Jan-27]])/WomData[[#This Row],[Jan-27]]</f>
        <v>0.16666666666666666</v>
      </c>
      <c r="AK6" s="12">
        <f>(WomData[[#This Row],[Mar-27]]-WomData[[#This Row],[Feb-27]])/WomData[[#This Row],[Feb-27]]</f>
        <v>0.14285714285714285</v>
      </c>
      <c r="AL6" s="12">
        <f>(WomData[[#This Row],[Apr-27]]-WomData[[#This Row],[Mar-27]])/WomData[[#This Row],[Mar-27]]</f>
        <v>0.125</v>
      </c>
      <c r="AM6" s="12">
        <f>(WomData[[#This Row],[May-27]]-WomData[[#This Row],[Apr-27]])/WomData[[#This Row],[Apr-27]]</f>
        <v>-0.1111111111111111</v>
      </c>
      <c r="AN6" s="12">
        <f>(WomData[[#This Row],[Jun-27]]-WomData[[#This Row],[May-27]])/WomData[[#This Row],[May-27]]</f>
        <v>-0.5</v>
      </c>
    </row>
    <row r="7" spans="1:40">
      <c r="C7" s="1" t="s">
        <v>40</v>
      </c>
      <c r="D7" s="73">
        <v>3</v>
      </c>
      <c r="E7" s="73">
        <v>4</v>
      </c>
      <c r="F7" s="73">
        <v>12</v>
      </c>
      <c r="G7" s="73">
        <v>5</v>
      </c>
      <c r="H7" s="73">
        <v>7</v>
      </c>
      <c r="I7" s="73">
        <v>2</v>
      </c>
      <c r="J7" s="73">
        <v>5</v>
      </c>
      <c r="K7" s="73">
        <v>3</v>
      </c>
      <c r="L7" s="74">
        <v>6</v>
      </c>
      <c r="M7" s="74">
        <v>7</v>
      </c>
      <c r="N7" s="74">
        <v>8</v>
      </c>
      <c r="O7" s="74">
        <v>9</v>
      </c>
      <c r="P7" s="74">
        <v>8</v>
      </c>
      <c r="Q7" s="74">
        <v>4</v>
      </c>
      <c r="Z7" s="1" t="s">
        <v>40</v>
      </c>
      <c r="AA7" s="11"/>
      <c r="AB7" s="12">
        <f>(WomData[[#This Row],[Jun-26]]-WomData[[#This Row],[May-26]])/WomData[[#This Row],[May-26]]</f>
        <v>0.33333333333333331</v>
      </c>
      <c r="AC7" s="12">
        <f>(WomData[[#This Row],[Jul-26]]-WomData[[#This Row],[Jun-26]])/WomData[[#This Row],[Jun-26]]</f>
        <v>2</v>
      </c>
      <c r="AD7" s="12">
        <f>(WomData[[#This Row],[Aug-26]]-WomData[[#This Row],[Jul-26]])/WomData[[#This Row],[Jul-26]]</f>
        <v>-0.58333333333333337</v>
      </c>
      <c r="AE7" s="12">
        <f>(WomData[[#This Row],[Sep-26]]-WomData[[#This Row],[Aug-26]])/WomData[[#This Row],[Aug-26]]</f>
        <v>0.4</v>
      </c>
      <c r="AF7" s="12">
        <f>(WomData[[#This Row],[Oct-26]]-WomData[[#This Row],[Sep-26]])/WomData[[#This Row],[Sep-26]]</f>
        <v>-0.7142857142857143</v>
      </c>
      <c r="AG7" s="12">
        <f>(WomData[[#This Row],[Nov-26]]-WomData[[#This Row],[Oct-26]])/WomData[[#This Row],[Oct-26]]</f>
        <v>1.5</v>
      </c>
      <c r="AH7" s="12">
        <f>(WomData[[#This Row],[Dec-26]]-WomData[[#This Row],[Nov-26]])/WomData[[#This Row],[Nov-26]]</f>
        <v>-0.4</v>
      </c>
      <c r="AI7" s="12">
        <f>(WomData[[#This Row],[Jan-27]]-WomData[[#This Row],[Dec-26]])/WomData[[#This Row],[Dec-26]]</f>
        <v>1</v>
      </c>
      <c r="AJ7" s="12">
        <f>(WomData[[#This Row],[Feb-27]]-WomData[[#This Row],[Jan-27]])/WomData[[#This Row],[Jan-27]]</f>
        <v>0.16666666666666666</v>
      </c>
      <c r="AK7" s="12">
        <f>(WomData[[#This Row],[Mar-27]]-WomData[[#This Row],[Feb-27]])/WomData[[#This Row],[Feb-27]]</f>
        <v>0.14285714285714285</v>
      </c>
      <c r="AL7" s="12">
        <f>(WomData[[#This Row],[Apr-27]]-WomData[[#This Row],[Mar-27]])/WomData[[#This Row],[Mar-27]]</f>
        <v>0.125</v>
      </c>
      <c r="AM7" s="12">
        <f>(WomData[[#This Row],[May-27]]-WomData[[#This Row],[Apr-27]])/WomData[[#This Row],[Apr-27]]</f>
        <v>-0.1111111111111111</v>
      </c>
      <c r="AN7" s="12">
        <f>(WomData[[#This Row],[Jun-27]]-WomData[[#This Row],[May-27]])/WomData[[#This Row],[May-27]]</f>
        <v>-0.5</v>
      </c>
    </row>
    <row r="8" spans="1:40">
      <c r="C8" s="1" t="s">
        <v>41</v>
      </c>
      <c r="D8" s="73">
        <v>3</v>
      </c>
      <c r="E8" s="73">
        <v>4</v>
      </c>
      <c r="F8" s="73">
        <v>12</v>
      </c>
      <c r="G8" s="73">
        <v>5</v>
      </c>
      <c r="H8" s="73">
        <v>7</v>
      </c>
      <c r="I8" s="73">
        <v>2</v>
      </c>
      <c r="J8" s="73">
        <v>5</v>
      </c>
      <c r="K8" s="73">
        <v>3</v>
      </c>
      <c r="L8" s="74">
        <v>6</v>
      </c>
      <c r="M8" s="74">
        <v>7</v>
      </c>
      <c r="N8" s="74">
        <v>8</v>
      </c>
      <c r="O8" s="74">
        <v>9</v>
      </c>
      <c r="P8" s="74">
        <v>8</v>
      </c>
      <c r="Q8" s="74">
        <v>4</v>
      </c>
      <c r="Z8" s="1" t="s">
        <v>41</v>
      </c>
      <c r="AA8" s="11"/>
      <c r="AB8" s="12">
        <f>(WomData[[#This Row],[Jun-26]]-WomData[[#This Row],[May-26]])/WomData[[#This Row],[May-26]]</f>
        <v>0.33333333333333331</v>
      </c>
      <c r="AC8" s="12">
        <f>(WomData[[#This Row],[Jul-26]]-WomData[[#This Row],[Jun-26]])/WomData[[#This Row],[Jun-26]]</f>
        <v>2</v>
      </c>
      <c r="AD8" s="12">
        <f>(WomData[[#This Row],[Aug-26]]-WomData[[#This Row],[Jul-26]])/WomData[[#This Row],[Jul-26]]</f>
        <v>-0.58333333333333337</v>
      </c>
      <c r="AE8" s="12">
        <f>(WomData[[#This Row],[Sep-26]]-WomData[[#This Row],[Aug-26]])/WomData[[#This Row],[Aug-26]]</f>
        <v>0.4</v>
      </c>
      <c r="AF8" s="12">
        <f>(WomData[[#This Row],[Oct-26]]-WomData[[#This Row],[Sep-26]])/WomData[[#This Row],[Sep-26]]</f>
        <v>-0.7142857142857143</v>
      </c>
      <c r="AG8" s="12">
        <f>(WomData[[#This Row],[Nov-26]]-WomData[[#This Row],[Oct-26]])/WomData[[#This Row],[Oct-26]]</f>
        <v>1.5</v>
      </c>
      <c r="AH8" s="12">
        <f>(WomData[[#This Row],[Dec-26]]-WomData[[#This Row],[Nov-26]])/WomData[[#This Row],[Nov-26]]</f>
        <v>-0.4</v>
      </c>
      <c r="AI8" s="12">
        <f>(WomData[[#This Row],[Jan-27]]-WomData[[#This Row],[Dec-26]])/WomData[[#This Row],[Dec-26]]</f>
        <v>1</v>
      </c>
      <c r="AJ8" s="12">
        <f>(WomData[[#This Row],[Feb-27]]-WomData[[#This Row],[Jan-27]])/WomData[[#This Row],[Jan-27]]</f>
        <v>0.16666666666666666</v>
      </c>
      <c r="AK8" s="12">
        <f>(WomData[[#This Row],[Mar-27]]-WomData[[#This Row],[Feb-27]])/WomData[[#This Row],[Feb-27]]</f>
        <v>0.14285714285714285</v>
      </c>
      <c r="AL8" s="12">
        <f>(WomData[[#This Row],[Apr-27]]-WomData[[#This Row],[Mar-27]])/WomData[[#This Row],[Mar-27]]</f>
        <v>0.125</v>
      </c>
      <c r="AM8" s="12">
        <f>(WomData[[#This Row],[May-27]]-WomData[[#This Row],[Apr-27]])/WomData[[#This Row],[Apr-27]]</f>
        <v>-0.1111111111111111</v>
      </c>
      <c r="AN8" s="12">
        <f>(WomData[[#This Row],[Jun-27]]-WomData[[#This Row],[May-27]])/WomData[[#This Row],[May-27]]</f>
        <v>-0.5</v>
      </c>
    </row>
    <row r="9" spans="1:40">
      <c r="C9" s="1" t="s">
        <v>42</v>
      </c>
      <c r="D9" s="73">
        <v>3</v>
      </c>
      <c r="E9" s="73">
        <v>4</v>
      </c>
      <c r="F9" s="73">
        <v>12</v>
      </c>
      <c r="G9" s="73">
        <v>5</v>
      </c>
      <c r="H9" s="73">
        <v>7</v>
      </c>
      <c r="I9" s="73">
        <v>2</v>
      </c>
      <c r="J9" s="73">
        <v>5</v>
      </c>
      <c r="K9" s="73">
        <v>3</v>
      </c>
      <c r="L9" s="74">
        <v>6</v>
      </c>
      <c r="M9" s="74">
        <v>7</v>
      </c>
      <c r="N9" s="74">
        <v>8</v>
      </c>
      <c r="O9" s="74">
        <v>9</v>
      </c>
      <c r="P9" s="74">
        <v>8</v>
      </c>
      <c r="Q9" s="74">
        <v>4</v>
      </c>
      <c r="Z9" s="1" t="s">
        <v>42</v>
      </c>
      <c r="AA9" s="11"/>
      <c r="AB9" s="12">
        <f>(WomData[[#This Row],[Jun-26]]-WomData[[#This Row],[May-26]])/WomData[[#This Row],[May-26]]</f>
        <v>0.33333333333333331</v>
      </c>
      <c r="AC9" s="12">
        <f>(WomData[[#This Row],[Jul-26]]-WomData[[#This Row],[Jun-26]])/WomData[[#This Row],[Jun-26]]</f>
        <v>2</v>
      </c>
      <c r="AD9" s="12">
        <f>(WomData[[#This Row],[Aug-26]]-WomData[[#This Row],[Jul-26]])/WomData[[#This Row],[Jul-26]]</f>
        <v>-0.58333333333333337</v>
      </c>
      <c r="AE9" s="12">
        <f>(WomData[[#This Row],[Sep-26]]-WomData[[#This Row],[Aug-26]])/WomData[[#This Row],[Aug-26]]</f>
        <v>0.4</v>
      </c>
      <c r="AF9" s="12">
        <f>(WomData[[#This Row],[Oct-26]]-WomData[[#This Row],[Sep-26]])/WomData[[#This Row],[Sep-26]]</f>
        <v>-0.7142857142857143</v>
      </c>
      <c r="AG9" s="12">
        <f>(WomData[[#This Row],[Nov-26]]-WomData[[#This Row],[Oct-26]])/WomData[[#This Row],[Oct-26]]</f>
        <v>1.5</v>
      </c>
      <c r="AH9" s="12">
        <f>(WomData[[#This Row],[Dec-26]]-WomData[[#This Row],[Nov-26]])/WomData[[#This Row],[Nov-26]]</f>
        <v>-0.4</v>
      </c>
      <c r="AI9" s="12">
        <f>(WomData[[#This Row],[Jan-27]]-WomData[[#This Row],[Dec-26]])/WomData[[#This Row],[Dec-26]]</f>
        <v>1</v>
      </c>
      <c r="AJ9" s="12">
        <f>(WomData[[#This Row],[Feb-27]]-WomData[[#This Row],[Jan-27]])/WomData[[#This Row],[Jan-27]]</f>
        <v>0.16666666666666666</v>
      </c>
      <c r="AK9" s="12">
        <f>(WomData[[#This Row],[Mar-27]]-WomData[[#This Row],[Feb-27]])/WomData[[#This Row],[Feb-27]]</f>
        <v>0.14285714285714285</v>
      </c>
      <c r="AL9" s="12">
        <f>(WomData[[#This Row],[Apr-27]]-WomData[[#This Row],[Mar-27]])/WomData[[#This Row],[Mar-27]]</f>
        <v>0.125</v>
      </c>
      <c r="AM9" s="12">
        <f>(WomData[[#This Row],[May-27]]-WomData[[#This Row],[Apr-27]])/WomData[[#This Row],[Apr-27]]</f>
        <v>-0.1111111111111111</v>
      </c>
      <c r="AN9" s="12">
        <f>(WomData[[#This Row],[Jun-27]]-WomData[[#This Row],[May-27]])/WomData[[#This Row],[May-27]]</f>
        <v>-0.5</v>
      </c>
    </row>
    <row r="10" spans="1:40">
      <c r="C10" s="1" t="s">
        <v>43</v>
      </c>
      <c r="D10" s="73">
        <v>3</v>
      </c>
      <c r="E10" s="73">
        <v>4</v>
      </c>
      <c r="F10" s="73">
        <v>12</v>
      </c>
      <c r="G10" s="73">
        <v>5</v>
      </c>
      <c r="H10" s="73">
        <v>7</v>
      </c>
      <c r="I10" s="73">
        <v>2</v>
      </c>
      <c r="J10" s="73">
        <v>5</v>
      </c>
      <c r="K10" s="73">
        <v>3</v>
      </c>
      <c r="L10" s="74">
        <v>6</v>
      </c>
      <c r="M10" s="74">
        <v>7</v>
      </c>
      <c r="N10" s="74">
        <v>8</v>
      </c>
      <c r="O10" s="74">
        <v>9</v>
      </c>
      <c r="P10" s="74">
        <v>8</v>
      </c>
      <c r="Q10" s="74">
        <v>4</v>
      </c>
      <c r="Z10" s="1" t="s">
        <v>43</v>
      </c>
      <c r="AA10" s="11"/>
      <c r="AB10" s="12">
        <f>(WomData[[#This Row],[Jun-26]]-WomData[[#This Row],[May-26]])/WomData[[#This Row],[May-26]]</f>
        <v>0.33333333333333331</v>
      </c>
      <c r="AC10" s="12">
        <f>(WomData[[#This Row],[Jul-26]]-WomData[[#This Row],[Jun-26]])/WomData[[#This Row],[Jun-26]]</f>
        <v>2</v>
      </c>
      <c r="AD10" s="12">
        <f>(WomData[[#This Row],[Aug-26]]-WomData[[#This Row],[Jul-26]])/WomData[[#This Row],[Jul-26]]</f>
        <v>-0.58333333333333337</v>
      </c>
      <c r="AE10" s="12">
        <f>(WomData[[#This Row],[Sep-26]]-WomData[[#This Row],[Aug-26]])/WomData[[#This Row],[Aug-26]]</f>
        <v>0.4</v>
      </c>
      <c r="AF10" s="12">
        <f>(WomData[[#This Row],[Oct-26]]-WomData[[#This Row],[Sep-26]])/WomData[[#This Row],[Sep-26]]</f>
        <v>-0.7142857142857143</v>
      </c>
      <c r="AG10" s="12">
        <f>(WomData[[#This Row],[Nov-26]]-WomData[[#This Row],[Oct-26]])/WomData[[#This Row],[Oct-26]]</f>
        <v>1.5</v>
      </c>
      <c r="AH10" s="12">
        <f>(WomData[[#This Row],[Dec-26]]-WomData[[#This Row],[Nov-26]])/WomData[[#This Row],[Nov-26]]</f>
        <v>-0.4</v>
      </c>
      <c r="AI10" s="12">
        <f>(WomData[[#This Row],[Jan-27]]-WomData[[#This Row],[Dec-26]])/WomData[[#This Row],[Dec-26]]</f>
        <v>1</v>
      </c>
      <c r="AJ10" s="12">
        <f>(WomData[[#This Row],[Feb-27]]-WomData[[#This Row],[Jan-27]])/WomData[[#This Row],[Jan-27]]</f>
        <v>0.16666666666666666</v>
      </c>
      <c r="AK10" s="12">
        <f>(WomData[[#This Row],[Mar-27]]-WomData[[#This Row],[Feb-27]])/WomData[[#This Row],[Feb-27]]</f>
        <v>0.14285714285714285</v>
      </c>
      <c r="AL10" s="12">
        <f>(WomData[[#This Row],[Apr-27]]-WomData[[#This Row],[Mar-27]])/WomData[[#This Row],[Mar-27]]</f>
        <v>0.125</v>
      </c>
      <c r="AM10" s="12">
        <f>(WomData[[#This Row],[May-27]]-WomData[[#This Row],[Apr-27]])/WomData[[#This Row],[Apr-27]]</f>
        <v>-0.1111111111111111</v>
      </c>
      <c r="AN10" s="12">
        <f>(WomData[[#This Row],[Jun-27]]-WomData[[#This Row],[May-27]])/WomData[[#This Row],[May-27]]</f>
        <v>-0.5</v>
      </c>
    </row>
    <row r="11" spans="1:40">
      <c r="C11" s="1" t="s">
        <v>44</v>
      </c>
      <c r="D11" s="73">
        <v>3</v>
      </c>
      <c r="E11" s="73">
        <v>4</v>
      </c>
      <c r="F11" s="73">
        <v>12</v>
      </c>
      <c r="G11" s="73">
        <v>5</v>
      </c>
      <c r="H11" s="73">
        <v>7</v>
      </c>
      <c r="I11" s="73">
        <v>2</v>
      </c>
      <c r="J11" s="73">
        <v>5</v>
      </c>
      <c r="K11" s="73">
        <v>3</v>
      </c>
      <c r="L11" s="74">
        <v>6</v>
      </c>
      <c r="M11" s="74">
        <v>7</v>
      </c>
      <c r="N11" s="74">
        <v>8</v>
      </c>
      <c r="O11" s="74">
        <v>9</v>
      </c>
      <c r="P11" s="74">
        <v>8</v>
      </c>
      <c r="Q11" s="74">
        <v>4</v>
      </c>
      <c r="Z11" s="1" t="s">
        <v>44</v>
      </c>
      <c r="AA11" s="11"/>
      <c r="AB11" s="12">
        <f>(WomData[[#This Row],[Jun-26]]-WomData[[#This Row],[May-26]])/WomData[[#This Row],[May-26]]</f>
        <v>0.33333333333333331</v>
      </c>
      <c r="AC11" s="12">
        <f>(WomData[[#This Row],[Jul-26]]-WomData[[#This Row],[Jun-26]])/WomData[[#This Row],[Jun-26]]</f>
        <v>2</v>
      </c>
      <c r="AD11" s="12">
        <f>(WomData[[#This Row],[Aug-26]]-WomData[[#This Row],[Jul-26]])/WomData[[#This Row],[Jul-26]]</f>
        <v>-0.58333333333333337</v>
      </c>
      <c r="AE11" s="12">
        <f>(WomData[[#This Row],[Sep-26]]-WomData[[#This Row],[Aug-26]])/WomData[[#This Row],[Aug-26]]</f>
        <v>0.4</v>
      </c>
      <c r="AF11" s="12">
        <f>(WomData[[#This Row],[Oct-26]]-WomData[[#This Row],[Sep-26]])/WomData[[#This Row],[Sep-26]]</f>
        <v>-0.7142857142857143</v>
      </c>
      <c r="AG11" s="12">
        <f>(WomData[[#This Row],[Nov-26]]-WomData[[#This Row],[Oct-26]])/WomData[[#This Row],[Oct-26]]</f>
        <v>1.5</v>
      </c>
      <c r="AH11" s="12">
        <f>(WomData[[#This Row],[Dec-26]]-WomData[[#This Row],[Nov-26]])/WomData[[#This Row],[Nov-26]]</f>
        <v>-0.4</v>
      </c>
      <c r="AI11" s="12">
        <f>(WomData[[#This Row],[Jan-27]]-WomData[[#This Row],[Dec-26]])/WomData[[#This Row],[Dec-26]]</f>
        <v>1</v>
      </c>
      <c r="AJ11" s="12">
        <f>(WomData[[#This Row],[Feb-27]]-WomData[[#This Row],[Jan-27]])/WomData[[#This Row],[Jan-27]]</f>
        <v>0.16666666666666666</v>
      </c>
      <c r="AK11" s="12">
        <f>(WomData[[#This Row],[Mar-27]]-WomData[[#This Row],[Feb-27]])/WomData[[#This Row],[Feb-27]]</f>
        <v>0.14285714285714285</v>
      </c>
      <c r="AL11" s="12">
        <f>(WomData[[#This Row],[Apr-27]]-WomData[[#This Row],[Mar-27]])/WomData[[#This Row],[Mar-27]]</f>
        <v>0.125</v>
      </c>
      <c r="AM11" s="12">
        <f>(WomData[[#This Row],[May-27]]-WomData[[#This Row],[Apr-27]])/WomData[[#This Row],[Apr-27]]</f>
        <v>-0.1111111111111111</v>
      </c>
      <c r="AN11" s="12">
        <f>(WomData[[#This Row],[Jun-27]]-WomData[[#This Row],[May-27]])/WomData[[#This Row],[May-27]]</f>
        <v>-0.5</v>
      </c>
    </row>
    <row r="12" spans="1:40">
      <c r="C12" s="1" t="s">
        <v>45</v>
      </c>
      <c r="D12" s="73">
        <v>3</v>
      </c>
      <c r="E12" s="73">
        <v>4</v>
      </c>
      <c r="F12" s="73">
        <v>12</v>
      </c>
      <c r="G12" s="73">
        <v>5</v>
      </c>
      <c r="H12" s="73">
        <v>7</v>
      </c>
      <c r="I12" s="73">
        <v>2</v>
      </c>
      <c r="J12" s="73">
        <v>5</v>
      </c>
      <c r="K12" s="73">
        <v>3</v>
      </c>
      <c r="L12" s="74">
        <v>6</v>
      </c>
      <c r="M12" s="74">
        <v>7</v>
      </c>
      <c r="N12" s="74">
        <v>8</v>
      </c>
      <c r="O12" s="74">
        <v>9</v>
      </c>
      <c r="P12" s="74">
        <v>8</v>
      </c>
      <c r="Q12" s="74">
        <v>4</v>
      </c>
      <c r="Z12" s="1" t="s">
        <v>45</v>
      </c>
      <c r="AA12" s="11"/>
      <c r="AB12" s="12">
        <f>(WomData[[#This Row],[Jun-26]]-WomData[[#This Row],[May-26]])/WomData[[#This Row],[May-26]]</f>
        <v>0.33333333333333331</v>
      </c>
      <c r="AC12" s="12">
        <f>(WomData[[#This Row],[Jul-26]]-WomData[[#This Row],[Jun-26]])/WomData[[#This Row],[Jun-26]]</f>
        <v>2</v>
      </c>
      <c r="AD12" s="12">
        <f>(WomData[[#This Row],[Aug-26]]-WomData[[#This Row],[Jul-26]])/WomData[[#This Row],[Jul-26]]</f>
        <v>-0.58333333333333337</v>
      </c>
      <c r="AE12" s="12">
        <f>(WomData[[#This Row],[Sep-26]]-WomData[[#This Row],[Aug-26]])/WomData[[#This Row],[Aug-26]]</f>
        <v>0.4</v>
      </c>
      <c r="AF12" s="12">
        <f>(WomData[[#This Row],[Oct-26]]-WomData[[#This Row],[Sep-26]])/WomData[[#This Row],[Sep-26]]</f>
        <v>-0.7142857142857143</v>
      </c>
      <c r="AG12" s="12">
        <f>(WomData[[#This Row],[Nov-26]]-WomData[[#This Row],[Oct-26]])/WomData[[#This Row],[Oct-26]]</f>
        <v>1.5</v>
      </c>
      <c r="AH12" s="12">
        <f>(WomData[[#This Row],[Dec-26]]-WomData[[#This Row],[Nov-26]])/WomData[[#This Row],[Nov-26]]</f>
        <v>-0.4</v>
      </c>
      <c r="AI12" s="12">
        <f>(WomData[[#This Row],[Jan-27]]-WomData[[#This Row],[Dec-26]])/WomData[[#This Row],[Dec-26]]</f>
        <v>1</v>
      </c>
      <c r="AJ12" s="12">
        <f>(WomData[[#This Row],[Feb-27]]-WomData[[#This Row],[Jan-27]])/WomData[[#This Row],[Jan-27]]</f>
        <v>0.16666666666666666</v>
      </c>
      <c r="AK12" s="12">
        <f>(WomData[[#This Row],[Mar-27]]-WomData[[#This Row],[Feb-27]])/WomData[[#This Row],[Feb-27]]</f>
        <v>0.14285714285714285</v>
      </c>
      <c r="AL12" s="12">
        <f>(WomData[[#This Row],[Apr-27]]-WomData[[#This Row],[Mar-27]])/WomData[[#This Row],[Mar-27]]</f>
        <v>0.125</v>
      </c>
      <c r="AM12" s="12">
        <f>(WomData[[#This Row],[May-27]]-WomData[[#This Row],[Apr-27]])/WomData[[#This Row],[Apr-27]]</f>
        <v>-0.1111111111111111</v>
      </c>
      <c r="AN12" s="12">
        <f>(WomData[[#This Row],[Jun-27]]-WomData[[#This Row],[May-27]])/WomData[[#This Row],[May-27]]</f>
        <v>-0.5</v>
      </c>
    </row>
    <row r="13" spans="1:40">
      <c r="C13" s="1" t="s">
        <v>46</v>
      </c>
      <c r="D13" s="73">
        <v>3</v>
      </c>
      <c r="E13" s="73">
        <v>4</v>
      </c>
      <c r="F13" s="73">
        <v>12</v>
      </c>
      <c r="G13" s="73">
        <v>5</v>
      </c>
      <c r="H13" s="73">
        <v>7</v>
      </c>
      <c r="I13" s="73">
        <v>2</v>
      </c>
      <c r="J13" s="73">
        <v>5</v>
      </c>
      <c r="K13" s="73">
        <v>3</v>
      </c>
      <c r="L13" s="74">
        <v>6</v>
      </c>
      <c r="M13" s="74">
        <v>7</v>
      </c>
      <c r="N13" s="74">
        <v>8</v>
      </c>
      <c r="O13" s="74">
        <v>9</v>
      </c>
      <c r="P13" s="74">
        <v>8</v>
      </c>
      <c r="Q13" s="74">
        <v>4</v>
      </c>
      <c r="Z13" s="1" t="s">
        <v>46</v>
      </c>
      <c r="AA13" s="11"/>
      <c r="AB13" s="12">
        <f>(WomData[[#This Row],[Jun-26]]-WomData[[#This Row],[May-26]])/WomData[[#This Row],[May-26]]</f>
        <v>0.33333333333333331</v>
      </c>
      <c r="AC13" s="12">
        <f>(WomData[[#This Row],[Jul-26]]-WomData[[#This Row],[Jun-26]])/WomData[[#This Row],[Jun-26]]</f>
        <v>2</v>
      </c>
      <c r="AD13" s="12">
        <f>(WomData[[#This Row],[Aug-26]]-WomData[[#This Row],[Jul-26]])/WomData[[#This Row],[Jul-26]]</f>
        <v>-0.58333333333333337</v>
      </c>
      <c r="AE13" s="12">
        <f>(WomData[[#This Row],[Sep-26]]-WomData[[#This Row],[Aug-26]])/WomData[[#This Row],[Aug-26]]</f>
        <v>0.4</v>
      </c>
      <c r="AF13" s="12">
        <f>(WomData[[#This Row],[Oct-26]]-WomData[[#This Row],[Sep-26]])/WomData[[#This Row],[Sep-26]]</f>
        <v>-0.7142857142857143</v>
      </c>
      <c r="AG13" s="12">
        <f>(WomData[[#This Row],[Nov-26]]-WomData[[#This Row],[Oct-26]])/WomData[[#This Row],[Oct-26]]</f>
        <v>1.5</v>
      </c>
      <c r="AH13" s="12">
        <f>(WomData[[#This Row],[Dec-26]]-WomData[[#This Row],[Nov-26]])/WomData[[#This Row],[Nov-26]]</f>
        <v>-0.4</v>
      </c>
      <c r="AI13" s="12">
        <f>(WomData[[#This Row],[Jan-27]]-WomData[[#This Row],[Dec-26]])/WomData[[#This Row],[Dec-26]]</f>
        <v>1</v>
      </c>
      <c r="AJ13" s="12">
        <f>(WomData[[#This Row],[Feb-27]]-WomData[[#This Row],[Jan-27]])/WomData[[#This Row],[Jan-27]]</f>
        <v>0.16666666666666666</v>
      </c>
      <c r="AK13" s="12">
        <f>(WomData[[#This Row],[Mar-27]]-WomData[[#This Row],[Feb-27]])/WomData[[#This Row],[Feb-27]]</f>
        <v>0.14285714285714285</v>
      </c>
      <c r="AL13" s="12">
        <f>(WomData[[#This Row],[Apr-27]]-WomData[[#This Row],[Mar-27]])/WomData[[#This Row],[Mar-27]]</f>
        <v>0.125</v>
      </c>
      <c r="AM13" s="12">
        <f>(WomData[[#This Row],[May-27]]-WomData[[#This Row],[Apr-27]])/WomData[[#This Row],[Apr-27]]</f>
        <v>-0.1111111111111111</v>
      </c>
      <c r="AN13" s="12">
        <f>(WomData[[#This Row],[Jun-27]]-WomData[[#This Row],[May-27]])/WomData[[#This Row],[May-27]]</f>
        <v>-0.5</v>
      </c>
    </row>
    <row r="14" spans="1:40">
      <c r="C14" s="1" t="s">
        <v>47</v>
      </c>
      <c r="D14" s="73">
        <v>3</v>
      </c>
      <c r="E14" s="73">
        <v>4</v>
      </c>
      <c r="F14" s="73">
        <v>12</v>
      </c>
      <c r="G14" s="73">
        <v>5</v>
      </c>
      <c r="H14" s="73">
        <v>7</v>
      </c>
      <c r="I14" s="73">
        <v>2</v>
      </c>
      <c r="J14" s="73">
        <v>5</v>
      </c>
      <c r="K14" s="73">
        <v>3</v>
      </c>
      <c r="L14" s="74">
        <v>6</v>
      </c>
      <c r="M14" s="74">
        <v>7</v>
      </c>
      <c r="N14" s="74">
        <v>8</v>
      </c>
      <c r="O14" s="74">
        <v>9</v>
      </c>
      <c r="P14" s="74">
        <v>8</v>
      </c>
      <c r="Q14" s="74">
        <v>4</v>
      </c>
      <c r="Z14" s="1" t="s">
        <v>47</v>
      </c>
      <c r="AA14" s="11"/>
      <c r="AB14" s="12">
        <f>(WomData[[#This Row],[Jun-26]]-WomData[[#This Row],[May-26]])/WomData[[#This Row],[May-26]]</f>
        <v>0.33333333333333331</v>
      </c>
      <c r="AC14" s="12">
        <f>(WomData[[#This Row],[Jul-26]]-WomData[[#This Row],[Jun-26]])/WomData[[#This Row],[Jun-26]]</f>
        <v>2</v>
      </c>
      <c r="AD14" s="12">
        <f>(WomData[[#This Row],[Aug-26]]-WomData[[#This Row],[Jul-26]])/WomData[[#This Row],[Jul-26]]</f>
        <v>-0.58333333333333337</v>
      </c>
      <c r="AE14" s="12">
        <f>(WomData[[#This Row],[Sep-26]]-WomData[[#This Row],[Aug-26]])/WomData[[#This Row],[Aug-26]]</f>
        <v>0.4</v>
      </c>
      <c r="AF14" s="12">
        <f>(WomData[[#This Row],[Oct-26]]-WomData[[#This Row],[Sep-26]])/WomData[[#This Row],[Sep-26]]</f>
        <v>-0.7142857142857143</v>
      </c>
      <c r="AG14" s="12">
        <f>(WomData[[#This Row],[Nov-26]]-WomData[[#This Row],[Oct-26]])/WomData[[#This Row],[Oct-26]]</f>
        <v>1.5</v>
      </c>
      <c r="AH14" s="12">
        <f>(WomData[[#This Row],[Dec-26]]-WomData[[#This Row],[Nov-26]])/WomData[[#This Row],[Nov-26]]</f>
        <v>-0.4</v>
      </c>
      <c r="AI14" s="12">
        <f>(WomData[[#This Row],[Jan-27]]-WomData[[#This Row],[Dec-26]])/WomData[[#This Row],[Dec-26]]</f>
        <v>1</v>
      </c>
      <c r="AJ14" s="12">
        <f>(WomData[[#This Row],[Feb-27]]-WomData[[#This Row],[Jan-27]])/WomData[[#This Row],[Jan-27]]</f>
        <v>0.16666666666666666</v>
      </c>
      <c r="AK14" s="12">
        <f>(WomData[[#This Row],[Mar-27]]-WomData[[#This Row],[Feb-27]])/WomData[[#This Row],[Feb-27]]</f>
        <v>0.14285714285714285</v>
      </c>
      <c r="AL14" s="12">
        <f>(WomData[[#This Row],[Apr-27]]-WomData[[#This Row],[Mar-27]])/WomData[[#This Row],[Mar-27]]</f>
        <v>0.125</v>
      </c>
      <c r="AM14" s="12">
        <f>(WomData[[#This Row],[May-27]]-WomData[[#This Row],[Apr-27]])/WomData[[#This Row],[Apr-27]]</f>
        <v>-0.1111111111111111</v>
      </c>
      <c r="AN14" s="12">
        <f>(WomData[[#This Row],[Jun-27]]-WomData[[#This Row],[May-27]])/WomData[[#This Row],[May-27]]</f>
        <v>-0.5</v>
      </c>
    </row>
    <row r="15" spans="1:40">
      <c r="C15" s="1" t="s">
        <v>48</v>
      </c>
      <c r="D15" s="73">
        <v>3</v>
      </c>
      <c r="E15" s="73">
        <v>4</v>
      </c>
      <c r="F15" s="73">
        <v>12</v>
      </c>
      <c r="G15" s="73">
        <v>5</v>
      </c>
      <c r="H15" s="73">
        <v>7</v>
      </c>
      <c r="I15" s="73">
        <v>2</v>
      </c>
      <c r="J15" s="73">
        <v>5</v>
      </c>
      <c r="K15" s="73">
        <v>3</v>
      </c>
      <c r="L15" s="74">
        <v>6</v>
      </c>
      <c r="M15" s="74">
        <v>7</v>
      </c>
      <c r="N15" s="74">
        <v>8</v>
      </c>
      <c r="O15" s="74">
        <v>9</v>
      </c>
      <c r="P15" s="74">
        <v>8</v>
      </c>
      <c r="Q15" s="74">
        <v>4</v>
      </c>
      <c r="Z15" s="1" t="s">
        <v>48</v>
      </c>
      <c r="AA15" s="11"/>
      <c r="AB15" s="12">
        <f>(WomData[[#This Row],[Jun-26]]-WomData[[#This Row],[May-26]])/WomData[[#This Row],[May-26]]</f>
        <v>0.33333333333333331</v>
      </c>
      <c r="AC15" s="12">
        <f>(WomData[[#This Row],[Jul-26]]-WomData[[#This Row],[Jun-26]])/WomData[[#This Row],[Jun-26]]</f>
        <v>2</v>
      </c>
      <c r="AD15" s="12">
        <f>(WomData[[#This Row],[Aug-26]]-WomData[[#This Row],[Jul-26]])/WomData[[#This Row],[Jul-26]]</f>
        <v>-0.58333333333333337</v>
      </c>
      <c r="AE15" s="12">
        <f>(WomData[[#This Row],[Sep-26]]-WomData[[#This Row],[Aug-26]])/WomData[[#This Row],[Aug-26]]</f>
        <v>0.4</v>
      </c>
      <c r="AF15" s="12">
        <f>(WomData[[#This Row],[Oct-26]]-WomData[[#This Row],[Sep-26]])/WomData[[#This Row],[Sep-26]]</f>
        <v>-0.7142857142857143</v>
      </c>
      <c r="AG15" s="12">
        <f>(WomData[[#This Row],[Nov-26]]-WomData[[#This Row],[Oct-26]])/WomData[[#This Row],[Oct-26]]</f>
        <v>1.5</v>
      </c>
      <c r="AH15" s="12">
        <f>(WomData[[#This Row],[Dec-26]]-WomData[[#This Row],[Nov-26]])/WomData[[#This Row],[Nov-26]]</f>
        <v>-0.4</v>
      </c>
      <c r="AI15" s="12">
        <f>(WomData[[#This Row],[Jan-27]]-WomData[[#This Row],[Dec-26]])/WomData[[#This Row],[Dec-26]]</f>
        <v>1</v>
      </c>
      <c r="AJ15" s="12">
        <f>(WomData[[#This Row],[Feb-27]]-WomData[[#This Row],[Jan-27]])/WomData[[#This Row],[Jan-27]]</f>
        <v>0.16666666666666666</v>
      </c>
      <c r="AK15" s="12">
        <f>(WomData[[#This Row],[Mar-27]]-WomData[[#This Row],[Feb-27]])/WomData[[#This Row],[Feb-27]]</f>
        <v>0.14285714285714285</v>
      </c>
      <c r="AL15" s="12">
        <f>(WomData[[#This Row],[Apr-27]]-WomData[[#This Row],[Mar-27]])/WomData[[#This Row],[Mar-27]]</f>
        <v>0.125</v>
      </c>
      <c r="AM15" s="12">
        <f>(WomData[[#This Row],[May-27]]-WomData[[#This Row],[Apr-27]])/WomData[[#This Row],[Apr-27]]</f>
        <v>-0.1111111111111111</v>
      </c>
      <c r="AN15" s="12">
        <f>(WomData[[#This Row],[Jun-27]]-WomData[[#This Row],[May-27]])/WomData[[#This Row],[May-27]]</f>
        <v>-0.5</v>
      </c>
    </row>
    <row r="16" spans="1:40">
      <c r="C16" s="1" t="s">
        <v>49</v>
      </c>
      <c r="D16" s="73">
        <v>3</v>
      </c>
      <c r="E16" s="73">
        <v>4</v>
      </c>
      <c r="F16" s="73">
        <v>12</v>
      </c>
      <c r="G16" s="73">
        <v>5</v>
      </c>
      <c r="H16" s="73">
        <v>7</v>
      </c>
      <c r="I16" s="73">
        <v>2</v>
      </c>
      <c r="J16" s="73">
        <v>5</v>
      </c>
      <c r="K16" s="73">
        <v>3</v>
      </c>
      <c r="L16" s="74">
        <v>6</v>
      </c>
      <c r="M16" s="74">
        <v>7</v>
      </c>
      <c r="N16" s="74">
        <v>8</v>
      </c>
      <c r="O16" s="74">
        <v>9</v>
      </c>
      <c r="P16" s="74">
        <v>8</v>
      </c>
      <c r="Q16" s="74">
        <v>4</v>
      </c>
      <c r="Z16" s="1" t="s">
        <v>49</v>
      </c>
      <c r="AA16" s="11"/>
      <c r="AB16" s="12">
        <f>(WomData[[#This Row],[Jun-26]]-WomData[[#This Row],[May-26]])/WomData[[#This Row],[May-26]]</f>
        <v>0.33333333333333331</v>
      </c>
      <c r="AC16" s="12">
        <f>(WomData[[#This Row],[Jul-26]]-WomData[[#This Row],[Jun-26]])/WomData[[#This Row],[Jun-26]]</f>
        <v>2</v>
      </c>
      <c r="AD16" s="12">
        <f>(WomData[[#This Row],[Aug-26]]-WomData[[#This Row],[Jul-26]])/WomData[[#This Row],[Jul-26]]</f>
        <v>-0.58333333333333337</v>
      </c>
      <c r="AE16" s="12">
        <f>(WomData[[#This Row],[Sep-26]]-WomData[[#This Row],[Aug-26]])/WomData[[#This Row],[Aug-26]]</f>
        <v>0.4</v>
      </c>
      <c r="AF16" s="12">
        <f>(WomData[[#This Row],[Oct-26]]-WomData[[#This Row],[Sep-26]])/WomData[[#This Row],[Sep-26]]</f>
        <v>-0.7142857142857143</v>
      </c>
      <c r="AG16" s="12">
        <f>(WomData[[#This Row],[Nov-26]]-WomData[[#This Row],[Oct-26]])/WomData[[#This Row],[Oct-26]]</f>
        <v>1.5</v>
      </c>
      <c r="AH16" s="12">
        <f>(WomData[[#This Row],[Dec-26]]-WomData[[#This Row],[Nov-26]])/WomData[[#This Row],[Nov-26]]</f>
        <v>-0.4</v>
      </c>
      <c r="AI16" s="12">
        <f>(WomData[[#This Row],[Jan-27]]-WomData[[#This Row],[Dec-26]])/WomData[[#This Row],[Dec-26]]</f>
        <v>1</v>
      </c>
      <c r="AJ16" s="12">
        <f>(WomData[[#This Row],[Feb-27]]-WomData[[#This Row],[Jan-27]])/WomData[[#This Row],[Jan-27]]</f>
        <v>0.16666666666666666</v>
      </c>
      <c r="AK16" s="12">
        <f>(WomData[[#This Row],[Mar-27]]-WomData[[#This Row],[Feb-27]])/WomData[[#This Row],[Feb-27]]</f>
        <v>0.14285714285714285</v>
      </c>
      <c r="AL16" s="12">
        <f>(WomData[[#This Row],[Apr-27]]-WomData[[#This Row],[Mar-27]])/WomData[[#This Row],[Mar-27]]</f>
        <v>0.125</v>
      </c>
      <c r="AM16" s="12">
        <f>(WomData[[#This Row],[May-27]]-WomData[[#This Row],[Apr-27]])/WomData[[#This Row],[Apr-27]]</f>
        <v>-0.1111111111111111</v>
      </c>
      <c r="AN16" s="12">
        <f>(WomData[[#This Row],[Jun-27]]-WomData[[#This Row],[May-27]])/WomData[[#This Row],[May-27]]</f>
        <v>-0.5</v>
      </c>
    </row>
    <row r="17" spans="3:40">
      <c r="C17" s="1" t="s">
        <v>50</v>
      </c>
      <c r="D17" s="73">
        <v>3</v>
      </c>
      <c r="E17" s="73">
        <v>4</v>
      </c>
      <c r="F17" s="73">
        <v>12</v>
      </c>
      <c r="G17" s="73">
        <v>5</v>
      </c>
      <c r="H17" s="73">
        <v>7</v>
      </c>
      <c r="I17" s="73">
        <v>2</v>
      </c>
      <c r="J17" s="73">
        <v>5</v>
      </c>
      <c r="K17" s="73">
        <v>3</v>
      </c>
      <c r="L17" s="74">
        <v>6</v>
      </c>
      <c r="M17" s="74">
        <v>7</v>
      </c>
      <c r="N17" s="74">
        <v>8</v>
      </c>
      <c r="O17" s="74">
        <v>9</v>
      </c>
      <c r="P17" s="74">
        <v>8</v>
      </c>
      <c r="Q17" s="74">
        <v>4</v>
      </c>
      <c r="Z17" s="1" t="s">
        <v>50</v>
      </c>
      <c r="AA17" s="11"/>
      <c r="AB17" s="12">
        <f>(WomData[[#This Row],[Jun-26]]-WomData[[#This Row],[May-26]])/WomData[[#This Row],[May-26]]</f>
        <v>0.33333333333333331</v>
      </c>
      <c r="AC17" s="12">
        <f>(WomData[[#This Row],[Jul-26]]-WomData[[#This Row],[Jun-26]])/WomData[[#This Row],[Jun-26]]</f>
        <v>2</v>
      </c>
      <c r="AD17" s="12">
        <f>(WomData[[#This Row],[Aug-26]]-WomData[[#This Row],[Jul-26]])/WomData[[#This Row],[Jul-26]]</f>
        <v>-0.58333333333333337</v>
      </c>
      <c r="AE17" s="12">
        <f>(WomData[[#This Row],[Sep-26]]-WomData[[#This Row],[Aug-26]])/WomData[[#This Row],[Aug-26]]</f>
        <v>0.4</v>
      </c>
      <c r="AF17" s="12">
        <f>(WomData[[#This Row],[Oct-26]]-WomData[[#This Row],[Sep-26]])/WomData[[#This Row],[Sep-26]]</f>
        <v>-0.7142857142857143</v>
      </c>
      <c r="AG17" s="12">
        <f>(WomData[[#This Row],[Nov-26]]-WomData[[#This Row],[Oct-26]])/WomData[[#This Row],[Oct-26]]</f>
        <v>1.5</v>
      </c>
      <c r="AH17" s="12">
        <f>(WomData[[#This Row],[Dec-26]]-WomData[[#This Row],[Nov-26]])/WomData[[#This Row],[Nov-26]]</f>
        <v>-0.4</v>
      </c>
      <c r="AI17" s="12">
        <f>(WomData[[#This Row],[Jan-27]]-WomData[[#This Row],[Dec-26]])/WomData[[#This Row],[Dec-26]]</f>
        <v>1</v>
      </c>
      <c r="AJ17" s="12">
        <f>(WomData[[#This Row],[Feb-27]]-WomData[[#This Row],[Jan-27]])/WomData[[#This Row],[Jan-27]]</f>
        <v>0.16666666666666666</v>
      </c>
      <c r="AK17" s="12">
        <f>(WomData[[#This Row],[Mar-27]]-WomData[[#This Row],[Feb-27]])/WomData[[#This Row],[Feb-27]]</f>
        <v>0.14285714285714285</v>
      </c>
      <c r="AL17" s="12">
        <f>(WomData[[#This Row],[Apr-27]]-WomData[[#This Row],[Mar-27]])/WomData[[#This Row],[Mar-27]]</f>
        <v>0.125</v>
      </c>
      <c r="AM17" s="12">
        <f>(WomData[[#This Row],[May-27]]-WomData[[#This Row],[Apr-27]])/WomData[[#This Row],[Apr-27]]</f>
        <v>-0.1111111111111111</v>
      </c>
      <c r="AN17" s="12">
        <f>(WomData[[#This Row],[Jun-27]]-WomData[[#This Row],[May-27]])/WomData[[#This Row],[May-27]]</f>
        <v>-0.5</v>
      </c>
    </row>
    <row r="18" spans="3:40">
      <c r="C18" s="1" t="s">
        <v>51</v>
      </c>
      <c r="D18" s="73">
        <v>3</v>
      </c>
      <c r="E18" s="73">
        <v>4</v>
      </c>
      <c r="F18" s="73">
        <v>12</v>
      </c>
      <c r="G18" s="73">
        <v>5</v>
      </c>
      <c r="H18" s="73">
        <v>7</v>
      </c>
      <c r="I18" s="73">
        <v>2</v>
      </c>
      <c r="J18" s="73">
        <v>5</v>
      </c>
      <c r="K18" s="73">
        <v>3</v>
      </c>
      <c r="L18" s="74">
        <v>6</v>
      </c>
      <c r="M18" s="74">
        <v>7</v>
      </c>
      <c r="N18" s="74">
        <v>8</v>
      </c>
      <c r="O18" s="74">
        <v>9</v>
      </c>
      <c r="P18" s="74">
        <v>8</v>
      </c>
      <c r="Q18" s="74">
        <v>4</v>
      </c>
      <c r="Z18" s="1" t="s">
        <v>51</v>
      </c>
      <c r="AA18" s="11"/>
      <c r="AB18" s="12">
        <f>(WomData[[#This Row],[Jun-26]]-WomData[[#This Row],[May-26]])/WomData[[#This Row],[May-26]]</f>
        <v>0.33333333333333331</v>
      </c>
      <c r="AC18" s="12">
        <f>(WomData[[#This Row],[Jul-26]]-WomData[[#This Row],[Jun-26]])/WomData[[#This Row],[Jun-26]]</f>
        <v>2</v>
      </c>
      <c r="AD18" s="12">
        <f>(WomData[[#This Row],[Aug-26]]-WomData[[#This Row],[Jul-26]])/WomData[[#This Row],[Jul-26]]</f>
        <v>-0.58333333333333337</v>
      </c>
      <c r="AE18" s="12">
        <f>(WomData[[#This Row],[Sep-26]]-WomData[[#This Row],[Aug-26]])/WomData[[#This Row],[Aug-26]]</f>
        <v>0.4</v>
      </c>
      <c r="AF18" s="12">
        <f>(WomData[[#This Row],[Oct-26]]-WomData[[#This Row],[Sep-26]])/WomData[[#This Row],[Sep-26]]</f>
        <v>-0.7142857142857143</v>
      </c>
      <c r="AG18" s="12">
        <f>(WomData[[#This Row],[Nov-26]]-WomData[[#This Row],[Oct-26]])/WomData[[#This Row],[Oct-26]]</f>
        <v>1.5</v>
      </c>
      <c r="AH18" s="12">
        <f>(WomData[[#This Row],[Dec-26]]-WomData[[#This Row],[Nov-26]])/WomData[[#This Row],[Nov-26]]</f>
        <v>-0.4</v>
      </c>
      <c r="AI18" s="12">
        <f>(WomData[[#This Row],[Jan-27]]-WomData[[#This Row],[Dec-26]])/WomData[[#This Row],[Dec-26]]</f>
        <v>1</v>
      </c>
      <c r="AJ18" s="12">
        <f>(WomData[[#This Row],[Feb-27]]-WomData[[#This Row],[Jan-27]])/WomData[[#This Row],[Jan-27]]</f>
        <v>0.16666666666666666</v>
      </c>
      <c r="AK18" s="12">
        <f>(WomData[[#This Row],[Mar-27]]-WomData[[#This Row],[Feb-27]])/WomData[[#This Row],[Feb-27]]</f>
        <v>0.14285714285714285</v>
      </c>
      <c r="AL18" s="12">
        <f>(WomData[[#This Row],[Apr-27]]-WomData[[#This Row],[Mar-27]])/WomData[[#This Row],[Mar-27]]</f>
        <v>0.125</v>
      </c>
      <c r="AM18" s="12">
        <f>(WomData[[#This Row],[May-27]]-WomData[[#This Row],[Apr-27]])/WomData[[#This Row],[Apr-27]]</f>
        <v>-0.1111111111111111</v>
      </c>
      <c r="AN18" s="12">
        <f>(WomData[[#This Row],[Jun-27]]-WomData[[#This Row],[May-27]])/WomData[[#This Row],[May-27]]</f>
        <v>-0.5</v>
      </c>
    </row>
    <row r="19" spans="3:40">
      <c r="C19" s="1" t="s">
        <v>52</v>
      </c>
      <c r="D19" s="73">
        <v>3</v>
      </c>
      <c r="E19" s="73">
        <v>4</v>
      </c>
      <c r="F19" s="73">
        <v>12</v>
      </c>
      <c r="G19" s="73">
        <v>5</v>
      </c>
      <c r="H19" s="73">
        <v>7</v>
      </c>
      <c r="I19" s="73">
        <v>2</v>
      </c>
      <c r="J19" s="73">
        <v>5</v>
      </c>
      <c r="K19" s="73">
        <v>3</v>
      </c>
      <c r="L19" s="74">
        <v>6</v>
      </c>
      <c r="M19" s="74">
        <v>7</v>
      </c>
      <c r="N19" s="74">
        <v>8</v>
      </c>
      <c r="O19" s="74">
        <v>9</v>
      </c>
      <c r="P19" s="74">
        <v>8</v>
      </c>
      <c r="Q19" s="74">
        <v>4</v>
      </c>
      <c r="Z19" s="1" t="s">
        <v>52</v>
      </c>
      <c r="AA19" s="11"/>
      <c r="AB19" s="12">
        <f>(WomData[[#This Row],[Jun-26]]-WomData[[#This Row],[May-26]])/WomData[[#This Row],[May-26]]</f>
        <v>0.33333333333333331</v>
      </c>
      <c r="AC19" s="12">
        <f>(WomData[[#This Row],[Jul-26]]-WomData[[#This Row],[Jun-26]])/WomData[[#This Row],[Jun-26]]</f>
        <v>2</v>
      </c>
      <c r="AD19" s="12">
        <f>(WomData[[#This Row],[Aug-26]]-WomData[[#This Row],[Jul-26]])/WomData[[#This Row],[Jul-26]]</f>
        <v>-0.58333333333333337</v>
      </c>
      <c r="AE19" s="12">
        <f>(WomData[[#This Row],[Sep-26]]-WomData[[#This Row],[Aug-26]])/WomData[[#This Row],[Aug-26]]</f>
        <v>0.4</v>
      </c>
      <c r="AF19" s="12">
        <f>(WomData[[#This Row],[Oct-26]]-WomData[[#This Row],[Sep-26]])/WomData[[#This Row],[Sep-26]]</f>
        <v>-0.7142857142857143</v>
      </c>
      <c r="AG19" s="12">
        <f>(WomData[[#This Row],[Nov-26]]-WomData[[#This Row],[Oct-26]])/WomData[[#This Row],[Oct-26]]</f>
        <v>1.5</v>
      </c>
      <c r="AH19" s="12">
        <f>(WomData[[#This Row],[Dec-26]]-WomData[[#This Row],[Nov-26]])/WomData[[#This Row],[Nov-26]]</f>
        <v>-0.4</v>
      </c>
      <c r="AI19" s="12">
        <f>(WomData[[#This Row],[Jan-27]]-WomData[[#This Row],[Dec-26]])/WomData[[#This Row],[Dec-26]]</f>
        <v>1</v>
      </c>
      <c r="AJ19" s="12">
        <f>(WomData[[#This Row],[Feb-27]]-WomData[[#This Row],[Jan-27]])/WomData[[#This Row],[Jan-27]]</f>
        <v>0.16666666666666666</v>
      </c>
      <c r="AK19" s="12">
        <f>(WomData[[#This Row],[Mar-27]]-WomData[[#This Row],[Feb-27]])/WomData[[#This Row],[Feb-27]]</f>
        <v>0.14285714285714285</v>
      </c>
      <c r="AL19" s="12">
        <f>(WomData[[#This Row],[Apr-27]]-WomData[[#This Row],[Mar-27]])/WomData[[#This Row],[Mar-27]]</f>
        <v>0.125</v>
      </c>
      <c r="AM19" s="12">
        <f>(WomData[[#This Row],[May-27]]-WomData[[#This Row],[Apr-27]])/WomData[[#This Row],[Apr-27]]</f>
        <v>-0.1111111111111111</v>
      </c>
      <c r="AN19" s="12">
        <f>(WomData[[#This Row],[Jun-27]]-WomData[[#This Row],[May-27]])/WomData[[#This Row],[May-27]]</f>
        <v>-0.5</v>
      </c>
    </row>
    <row r="20" spans="3:40">
      <c r="C20" s="1" t="s">
        <v>53</v>
      </c>
      <c r="D20" s="73">
        <v>3</v>
      </c>
      <c r="E20" s="73">
        <v>4</v>
      </c>
      <c r="F20" s="73">
        <v>12</v>
      </c>
      <c r="G20" s="73">
        <v>5</v>
      </c>
      <c r="H20" s="73">
        <v>7</v>
      </c>
      <c r="I20" s="73">
        <v>2</v>
      </c>
      <c r="J20" s="73">
        <v>5</v>
      </c>
      <c r="K20" s="73">
        <v>3</v>
      </c>
      <c r="L20" s="74">
        <v>6</v>
      </c>
      <c r="M20" s="74">
        <v>7</v>
      </c>
      <c r="N20" s="74">
        <v>8</v>
      </c>
      <c r="O20" s="74">
        <v>9</v>
      </c>
      <c r="P20" s="74">
        <v>8</v>
      </c>
      <c r="Q20" s="74">
        <v>4</v>
      </c>
      <c r="Z20" s="1" t="s">
        <v>53</v>
      </c>
      <c r="AA20" s="11"/>
      <c r="AB20" s="12">
        <f>(WomData[[#This Row],[Jun-26]]-WomData[[#This Row],[May-26]])/WomData[[#This Row],[May-26]]</f>
        <v>0.33333333333333331</v>
      </c>
      <c r="AC20" s="12">
        <f>(WomData[[#This Row],[Jul-26]]-WomData[[#This Row],[Jun-26]])/WomData[[#This Row],[Jun-26]]</f>
        <v>2</v>
      </c>
      <c r="AD20" s="12">
        <f>(WomData[[#This Row],[Aug-26]]-WomData[[#This Row],[Jul-26]])/WomData[[#This Row],[Jul-26]]</f>
        <v>-0.58333333333333337</v>
      </c>
      <c r="AE20" s="12">
        <f>(WomData[[#This Row],[Sep-26]]-WomData[[#This Row],[Aug-26]])/WomData[[#This Row],[Aug-26]]</f>
        <v>0.4</v>
      </c>
      <c r="AF20" s="12">
        <f>(WomData[[#This Row],[Oct-26]]-WomData[[#This Row],[Sep-26]])/WomData[[#This Row],[Sep-26]]</f>
        <v>-0.7142857142857143</v>
      </c>
      <c r="AG20" s="12">
        <f>(WomData[[#This Row],[Nov-26]]-WomData[[#This Row],[Oct-26]])/WomData[[#This Row],[Oct-26]]</f>
        <v>1.5</v>
      </c>
      <c r="AH20" s="12">
        <f>(WomData[[#This Row],[Dec-26]]-WomData[[#This Row],[Nov-26]])/WomData[[#This Row],[Nov-26]]</f>
        <v>-0.4</v>
      </c>
      <c r="AI20" s="12">
        <f>(WomData[[#This Row],[Jan-27]]-WomData[[#This Row],[Dec-26]])/WomData[[#This Row],[Dec-26]]</f>
        <v>1</v>
      </c>
      <c r="AJ20" s="12">
        <f>(WomData[[#This Row],[Feb-27]]-WomData[[#This Row],[Jan-27]])/WomData[[#This Row],[Jan-27]]</f>
        <v>0.16666666666666666</v>
      </c>
      <c r="AK20" s="12">
        <f>(WomData[[#This Row],[Mar-27]]-WomData[[#This Row],[Feb-27]])/WomData[[#This Row],[Feb-27]]</f>
        <v>0.14285714285714285</v>
      </c>
      <c r="AL20" s="12">
        <f>(WomData[[#This Row],[Apr-27]]-WomData[[#This Row],[Mar-27]])/WomData[[#This Row],[Mar-27]]</f>
        <v>0.125</v>
      </c>
      <c r="AM20" s="12">
        <f>(WomData[[#This Row],[May-27]]-WomData[[#This Row],[Apr-27]])/WomData[[#This Row],[Apr-27]]</f>
        <v>-0.1111111111111111</v>
      </c>
      <c r="AN20" s="12">
        <f>(WomData[[#This Row],[Jun-27]]-WomData[[#This Row],[May-27]])/WomData[[#This Row],[May-27]]</f>
        <v>-0.5</v>
      </c>
    </row>
    <row r="21" spans="3:40">
      <c r="C21" s="1" t="s">
        <v>54</v>
      </c>
      <c r="D21" s="73">
        <v>3</v>
      </c>
      <c r="E21" s="73">
        <v>4</v>
      </c>
      <c r="F21" s="73">
        <v>12</v>
      </c>
      <c r="G21" s="73">
        <v>5</v>
      </c>
      <c r="H21" s="73">
        <v>7</v>
      </c>
      <c r="I21" s="73">
        <v>2</v>
      </c>
      <c r="J21" s="73">
        <v>5</v>
      </c>
      <c r="K21" s="73">
        <v>3</v>
      </c>
      <c r="L21" s="74">
        <v>6</v>
      </c>
      <c r="M21" s="74">
        <v>7</v>
      </c>
      <c r="N21" s="74">
        <v>8</v>
      </c>
      <c r="O21" s="74">
        <v>9</v>
      </c>
      <c r="P21" s="74">
        <v>8</v>
      </c>
      <c r="Q21" s="74">
        <v>4</v>
      </c>
      <c r="Z21" s="1" t="s">
        <v>54</v>
      </c>
      <c r="AA21" s="11"/>
      <c r="AB21" s="12">
        <f>(WomData[[#This Row],[Jun-26]]-WomData[[#This Row],[May-26]])/WomData[[#This Row],[May-26]]</f>
        <v>0.33333333333333331</v>
      </c>
      <c r="AC21" s="12">
        <f>(WomData[[#This Row],[Jul-26]]-WomData[[#This Row],[Jun-26]])/WomData[[#This Row],[Jun-26]]</f>
        <v>2</v>
      </c>
      <c r="AD21" s="12">
        <f>(WomData[[#This Row],[Aug-26]]-WomData[[#This Row],[Jul-26]])/WomData[[#This Row],[Jul-26]]</f>
        <v>-0.58333333333333337</v>
      </c>
      <c r="AE21" s="12">
        <f>(WomData[[#This Row],[Sep-26]]-WomData[[#This Row],[Aug-26]])/WomData[[#This Row],[Aug-26]]</f>
        <v>0.4</v>
      </c>
      <c r="AF21" s="12">
        <f>(WomData[[#This Row],[Oct-26]]-WomData[[#This Row],[Sep-26]])/WomData[[#This Row],[Sep-26]]</f>
        <v>-0.7142857142857143</v>
      </c>
      <c r="AG21" s="12">
        <f>(WomData[[#This Row],[Nov-26]]-WomData[[#This Row],[Oct-26]])/WomData[[#This Row],[Oct-26]]</f>
        <v>1.5</v>
      </c>
      <c r="AH21" s="12">
        <f>(WomData[[#This Row],[Dec-26]]-WomData[[#This Row],[Nov-26]])/WomData[[#This Row],[Nov-26]]</f>
        <v>-0.4</v>
      </c>
      <c r="AI21" s="12">
        <f>(WomData[[#This Row],[Jan-27]]-WomData[[#This Row],[Dec-26]])/WomData[[#This Row],[Dec-26]]</f>
        <v>1</v>
      </c>
      <c r="AJ21" s="12">
        <f>(WomData[[#This Row],[Feb-27]]-WomData[[#This Row],[Jan-27]])/WomData[[#This Row],[Jan-27]]</f>
        <v>0.16666666666666666</v>
      </c>
      <c r="AK21" s="12">
        <f>(WomData[[#This Row],[Mar-27]]-WomData[[#This Row],[Feb-27]])/WomData[[#This Row],[Feb-27]]</f>
        <v>0.14285714285714285</v>
      </c>
      <c r="AL21" s="12">
        <f>(WomData[[#This Row],[Apr-27]]-WomData[[#This Row],[Mar-27]])/WomData[[#This Row],[Mar-27]]</f>
        <v>0.125</v>
      </c>
      <c r="AM21" s="12">
        <f>(WomData[[#This Row],[May-27]]-WomData[[#This Row],[Apr-27]])/WomData[[#This Row],[Apr-27]]</f>
        <v>-0.1111111111111111</v>
      </c>
      <c r="AN21" s="12">
        <f>(WomData[[#This Row],[Jun-27]]-WomData[[#This Row],[May-27]])/WomData[[#This Row],[May-27]]</f>
        <v>-0.5</v>
      </c>
    </row>
    <row r="22" spans="3:40">
      <c r="C22" s="1" t="s">
        <v>55</v>
      </c>
      <c r="D22" s="73">
        <v>3</v>
      </c>
      <c r="E22" s="73">
        <v>4</v>
      </c>
      <c r="F22" s="73">
        <v>12</v>
      </c>
      <c r="G22" s="73">
        <v>5</v>
      </c>
      <c r="H22" s="73">
        <v>7</v>
      </c>
      <c r="I22" s="73">
        <v>2</v>
      </c>
      <c r="J22" s="73">
        <v>5</v>
      </c>
      <c r="K22" s="73">
        <v>3</v>
      </c>
      <c r="L22" s="74">
        <v>6</v>
      </c>
      <c r="M22" s="74">
        <v>7</v>
      </c>
      <c r="N22" s="74">
        <v>8</v>
      </c>
      <c r="O22" s="74">
        <v>9</v>
      </c>
      <c r="P22" s="74">
        <v>8</v>
      </c>
      <c r="Q22" s="74">
        <v>4</v>
      </c>
      <c r="Z22" s="1" t="s">
        <v>55</v>
      </c>
      <c r="AA22" s="11"/>
      <c r="AB22" s="12">
        <f>(WomData[[#This Row],[Jun-26]]-WomData[[#This Row],[May-26]])/WomData[[#This Row],[May-26]]</f>
        <v>0.33333333333333331</v>
      </c>
      <c r="AC22" s="12">
        <f>(WomData[[#This Row],[Jul-26]]-WomData[[#This Row],[Jun-26]])/WomData[[#This Row],[Jun-26]]</f>
        <v>2</v>
      </c>
      <c r="AD22" s="12">
        <f>(WomData[[#This Row],[Aug-26]]-WomData[[#This Row],[Jul-26]])/WomData[[#This Row],[Jul-26]]</f>
        <v>-0.58333333333333337</v>
      </c>
      <c r="AE22" s="12">
        <f>(WomData[[#This Row],[Sep-26]]-WomData[[#This Row],[Aug-26]])/WomData[[#This Row],[Aug-26]]</f>
        <v>0.4</v>
      </c>
      <c r="AF22" s="12">
        <f>(WomData[[#This Row],[Oct-26]]-WomData[[#This Row],[Sep-26]])/WomData[[#This Row],[Sep-26]]</f>
        <v>-0.7142857142857143</v>
      </c>
      <c r="AG22" s="12">
        <f>(WomData[[#This Row],[Nov-26]]-WomData[[#This Row],[Oct-26]])/WomData[[#This Row],[Oct-26]]</f>
        <v>1.5</v>
      </c>
      <c r="AH22" s="12">
        <f>(WomData[[#This Row],[Dec-26]]-WomData[[#This Row],[Nov-26]])/WomData[[#This Row],[Nov-26]]</f>
        <v>-0.4</v>
      </c>
      <c r="AI22" s="12">
        <f>(WomData[[#This Row],[Jan-27]]-WomData[[#This Row],[Dec-26]])/WomData[[#This Row],[Dec-26]]</f>
        <v>1</v>
      </c>
      <c r="AJ22" s="12">
        <f>(WomData[[#This Row],[Feb-27]]-WomData[[#This Row],[Jan-27]])/WomData[[#This Row],[Jan-27]]</f>
        <v>0.16666666666666666</v>
      </c>
      <c r="AK22" s="12">
        <f>(WomData[[#This Row],[Mar-27]]-WomData[[#This Row],[Feb-27]])/WomData[[#This Row],[Feb-27]]</f>
        <v>0.14285714285714285</v>
      </c>
      <c r="AL22" s="12">
        <f>(WomData[[#This Row],[Apr-27]]-WomData[[#This Row],[Mar-27]])/WomData[[#This Row],[Mar-27]]</f>
        <v>0.125</v>
      </c>
      <c r="AM22" s="12">
        <f>(WomData[[#This Row],[May-27]]-WomData[[#This Row],[Apr-27]])/WomData[[#This Row],[Apr-27]]</f>
        <v>-0.1111111111111111</v>
      </c>
      <c r="AN22" s="12">
        <f>(WomData[[#This Row],[Jun-27]]-WomData[[#This Row],[May-27]])/WomData[[#This Row],[May-27]]</f>
        <v>-0.5</v>
      </c>
    </row>
    <row r="23" spans="3:40">
      <c r="C23" s="1" t="s">
        <v>56</v>
      </c>
      <c r="D23" s="73">
        <v>3</v>
      </c>
      <c r="E23" s="73">
        <v>4</v>
      </c>
      <c r="F23" s="73">
        <v>12</v>
      </c>
      <c r="G23" s="73">
        <v>5</v>
      </c>
      <c r="H23" s="73">
        <v>7</v>
      </c>
      <c r="I23" s="73">
        <v>2</v>
      </c>
      <c r="J23" s="73">
        <v>5</v>
      </c>
      <c r="K23" s="73">
        <v>3</v>
      </c>
      <c r="L23" s="74">
        <v>6</v>
      </c>
      <c r="M23" s="74">
        <v>7</v>
      </c>
      <c r="N23" s="74">
        <v>8</v>
      </c>
      <c r="O23" s="74">
        <v>9</v>
      </c>
      <c r="P23" s="74">
        <v>8</v>
      </c>
      <c r="Q23" s="74">
        <v>4</v>
      </c>
      <c r="Z23" s="1" t="s">
        <v>56</v>
      </c>
      <c r="AA23" s="11"/>
      <c r="AB23" s="12">
        <f>(WomData[[#This Row],[Jun-26]]-WomData[[#This Row],[May-26]])/WomData[[#This Row],[May-26]]</f>
        <v>0.33333333333333331</v>
      </c>
      <c r="AC23" s="12">
        <f>(WomData[[#This Row],[Jul-26]]-WomData[[#This Row],[Jun-26]])/WomData[[#This Row],[Jun-26]]</f>
        <v>2</v>
      </c>
      <c r="AD23" s="12">
        <f>(WomData[[#This Row],[Aug-26]]-WomData[[#This Row],[Jul-26]])/WomData[[#This Row],[Jul-26]]</f>
        <v>-0.58333333333333337</v>
      </c>
      <c r="AE23" s="12">
        <f>(WomData[[#This Row],[Sep-26]]-WomData[[#This Row],[Aug-26]])/WomData[[#This Row],[Aug-26]]</f>
        <v>0.4</v>
      </c>
      <c r="AF23" s="12">
        <f>(WomData[[#This Row],[Oct-26]]-WomData[[#This Row],[Sep-26]])/WomData[[#This Row],[Sep-26]]</f>
        <v>-0.7142857142857143</v>
      </c>
      <c r="AG23" s="12">
        <f>(WomData[[#This Row],[Nov-26]]-WomData[[#This Row],[Oct-26]])/WomData[[#This Row],[Oct-26]]</f>
        <v>1.5</v>
      </c>
      <c r="AH23" s="12">
        <f>(WomData[[#This Row],[Dec-26]]-WomData[[#This Row],[Nov-26]])/WomData[[#This Row],[Nov-26]]</f>
        <v>-0.4</v>
      </c>
      <c r="AI23" s="12">
        <f>(WomData[[#This Row],[Jan-27]]-WomData[[#This Row],[Dec-26]])/WomData[[#This Row],[Dec-26]]</f>
        <v>1</v>
      </c>
      <c r="AJ23" s="12">
        <f>(WomData[[#This Row],[Feb-27]]-WomData[[#This Row],[Jan-27]])/WomData[[#This Row],[Jan-27]]</f>
        <v>0.16666666666666666</v>
      </c>
      <c r="AK23" s="12">
        <f>(WomData[[#This Row],[Mar-27]]-WomData[[#This Row],[Feb-27]])/WomData[[#This Row],[Feb-27]]</f>
        <v>0.14285714285714285</v>
      </c>
      <c r="AL23" s="12">
        <f>(WomData[[#This Row],[Apr-27]]-WomData[[#This Row],[Mar-27]])/WomData[[#This Row],[Mar-27]]</f>
        <v>0.125</v>
      </c>
      <c r="AM23" s="12">
        <f>(WomData[[#This Row],[May-27]]-WomData[[#This Row],[Apr-27]])/WomData[[#This Row],[Apr-27]]</f>
        <v>-0.1111111111111111</v>
      </c>
      <c r="AN23" s="12">
        <f>(WomData[[#This Row],[Jun-27]]-WomData[[#This Row],[May-27]])/WomData[[#This Row],[May-27]]</f>
        <v>-0.5</v>
      </c>
    </row>
    <row r="24" spans="3:40">
      <c r="C24" s="1" t="s">
        <v>57</v>
      </c>
      <c r="D24" s="73">
        <v>3</v>
      </c>
      <c r="E24" s="73">
        <v>4</v>
      </c>
      <c r="F24" s="73">
        <v>12</v>
      </c>
      <c r="G24" s="73">
        <v>5</v>
      </c>
      <c r="H24" s="73">
        <v>7</v>
      </c>
      <c r="I24" s="73">
        <v>2</v>
      </c>
      <c r="J24" s="73">
        <v>5</v>
      </c>
      <c r="K24" s="73">
        <v>3</v>
      </c>
      <c r="L24" s="74">
        <v>6</v>
      </c>
      <c r="M24" s="74">
        <v>7</v>
      </c>
      <c r="N24" s="74">
        <v>8</v>
      </c>
      <c r="O24" s="74">
        <v>9</v>
      </c>
      <c r="P24" s="74">
        <v>8</v>
      </c>
      <c r="Q24" s="74">
        <v>4</v>
      </c>
      <c r="Z24" s="1" t="s">
        <v>57</v>
      </c>
      <c r="AA24" s="11"/>
      <c r="AB24" s="12">
        <f>(WomData[[#This Row],[Jun-26]]-WomData[[#This Row],[May-26]])/WomData[[#This Row],[May-26]]</f>
        <v>0.33333333333333331</v>
      </c>
      <c r="AC24" s="12">
        <f>(WomData[[#This Row],[Jul-26]]-WomData[[#This Row],[Jun-26]])/WomData[[#This Row],[Jun-26]]</f>
        <v>2</v>
      </c>
      <c r="AD24" s="12">
        <f>(WomData[[#This Row],[Aug-26]]-WomData[[#This Row],[Jul-26]])/WomData[[#This Row],[Jul-26]]</f>
        <v>-0.58333333333333337</v>
      </c>
      <c r="AE24" s="12">
        <f>(WomData[[#This Row],[Sep-26]]-WomData[[#This Row],[Aug-26]])/WomData[[#This Row],[Aug-26]]</f>
        <v>0.4</v>
      </c>
      <c r="AF24" s="12">
        <f>(WomData[[#This Row],[Oct-26]]-WomData[[#This Row],[Sep-26]])/WomData[[#This Row],[Sep-26]]</f>
        <v>-0.7142857142857143</v>
      </c>
      <c r="AG24" s="12">
        <f>(WomData[[#This Row],[Nov-26]]-WomData[[#This Row],[Oct-26]])/WomData[[#This Row],[Oct-26]]</f>
        <v>1.5</v>
      </c>
      <c r="AH24" s="12">
        <f>(WomData[[#This Row],[Dec-26]]-WomData[[#This Row],[Nov-26]])/WomData[[#This Row],[Nov-26]]</f>
        <v>-0.4</v>
      </c>
      <c r="AI24" s="12">
        <f>(WomData[[#This Row],[Jan-27]]-WomData[[#This Row],[Dec-26]])/WomData[[#This Row],[Dec-26]]</f>
        <v>1</v>
      </c>
      <c r="AJ24" s="12">
        <f>(WomData[[#This Row],[Feb-27]]-WomData[[#This Row],[Jan-27]])/WomData[[#This Row],[Jan-27]]</f>
        <v>0.16666666666666666</v>
      </c>
      <c r="AK24" s="12">
        <f>(WomData[[#This Row],[Mar-27]]-WomData[[#This Row],[Feb-27]])/WomData[[#This Row],[Feb-27]]</f>
        <v>0.14285714285714285</v>
      </c>
      <c r="AL24" s="12">
        <f>(WomData[[#This Row],[Apr-27]]-WomData[[#This Row],[Mar-27]])/WomData[[#This Row],[Mar-27]]</f>
        <v>0.125</v>
      </c>
      <c r="AM24" s="12">
        <f>(WomData[[#This Row],[May-27]]-WomData[[#This Row],[Apr-27]])/WomData[[#This Row],[Apr-27]]</f>
        <v>-0.1111111111111111</v>
      </c>
      <c r="AN24" s="12">
        <f>(WomData[[#This Row],[Jun-27]]-WomData[[#This Row],[May-27]])/WomData[[#This Row],[May-27]]</f>
        <v>-0.5</v>
      </c>
    </row>
    <row r="25" spans="3:40">
      <c r="C25" s="1" t="s">
        <v>58</v>
      </c>
      <c r="D25" s="73">
        <v>3</v>
      </c>
      <c r="E25" s="73">
        <v>4</v>
      </c>
      <c r="F25" s="73">
        <v>12</v>
      </c>
      <c r="G25" s="73">
        <v>5</v>
      </c>
      <c r="H25" s="73">
        <v>7</v>
      </c>
      <c r="I25" s="73">
        <v>2</v>
      </c>
      <c r="J25" s="73">
        <v>5</v>
      </c>
      <c r="K25" s="73">
        <v>3</v>
      </c>
      <c r="L25" s="74">
        <v>6</v>
      </c>
      <c r="M25" s="74">
        <v>7</v>
      </c>
      <c r="N25" s="74">
        <v>8</v>
      </c>
      <c r="O25" s="74">
        <v>9</v>
      </c>
      <c r="P25" s="74">
        <v>8</v>
      </c>
      <c r="Q25" s="74">
        <v>4</v>
      </c>
      <c r="Z25" s="1" t="s">
        <v>58</v>
      </c>
      <c r="AA25" s="11"/>
      <c r="AB25" s="12">
        <f>(WomData[[#This Row],[Jun-26]]-WomData[[#This Row],[May-26]])/WomData[[#This Row],[May-26]]</f>
        <v>0.33333333333333331</v>
      </c>
      <c r="AC25" s="12">
        <f>(WomData[[#This Row],[Jul-26]]-WomData[[#This Row],[Jun-26]])/WomData[[#This Row],[Jun-26]]</f>
        <v>2</v>
      </c>
      <c r="AD25" s="12">
        <f>(WomData[[#This Row],[Aug-26]]-WomData[[#This Row],[Jul-26]])/WomData[[#This Row],[Jul-26]]</f>
        <v>-0.58333333333333337</v>
      </c>
      <c r="AE25" s="12">
        <f>(WomData[[#This Row],[Sep-26]]-WomData[[#This Row],[Aug-26]])/WomData[[#This Row],[Aug-26]]</f>
        <v>0.4</v>
      </c>
      <c r="AF25" s="12">
        <f>(WomData[[#This Row],[Oct-26]]-WomData[[#This Row],[Sep-26]])/WomData[[#This Row],[Sep-26]]</f>
        <v>-0.7142857142857143</v>
      </c>
      <c r="AG25" s="12">
        <f>(WomData[[#This Row],[Nov-26]]-WomData[[#This Row],[Oct-26]])/WomData[[#This Row],[Oct-26]]</f>
        <v>1.5</v>
      </c>
      <c r="AH25" s="12">
        <f>(WomData[[#This Row],[Dec-26]]-WomData[[#This Row],[Nov-26]])/WomData[[#This Row],[Nov-26]]</f>
        <v>-0.4</v>
      </c>
      <c r="AI25" s="12">
        <f>(WomData[[#This Row],[Jan-27]]-WomData[[#This Row],[Dec-26]])/WomData[[#This Row],[Dec-26]]</f>
        <v>1</v>
      </c>
      <c r="AJ25" s="12">
        <f>(WomData[[#This Row],[Feb-27]]-WomData[[#This Row],[Jan-27]])/WomData[[#This Row],[Jan-27]]</f>
        <v>0.16666666666666666</v>
      </c>
      <c r="AK25" s="12">
        <f>(WomData[[#This Row],[Mar-27]]-WomData[[#This Row],[Feb-27]])/WomData[[#This Row],[Feb-27]]</f>
        <v>0.14285714285714285</v>
      </c>
      <c r="AL25" s="12">
        <f>(WomData[[#This Row],[Apr-27]]-WomData[[#This Row],[Mar-27]])/WomData[[#This Row],[Mar-27]]</f>
        <v>0.125</v>
      </c>
      <c r="AM25" s="12">
        <f>(WomData[[#This Row],[May-27]]-WomData[[#This Row],[Apr-27]])/WomData[[#This Row],[Apr-27]]</f>
        <v>-0.1111111111111111</v>
      </c>
      <c r="AN25" s="12">
        <f>(WomData[[#This Row],[Jun-27]]-WomData[[#This Row],[May-27]])/WomData[[#This Row],[May-27]]</f>
        <v>-0.5</v>
      </c>
    </row>
    <row r="26" spans="3:40">
      <c r="C26" s="1" t="s">
        <v>59</v>
      </c>
      <c r="D26" s="73">
        <v>3</v>
      </c>
      <c r="E26" s="73">
        <v>4</v>
      </c>
      <c r="F26" s="73">
        <v>12</v>
      </c>
      <c r="G26" s="73">
        <v>5</v>
      </c>
      <c r="H26" s="73">
        <v>7</v>
      </c>
      <c r="I26" s="73">
        <v>2</v>
      </c>
      <c r="J26" s="73">
        <v>5</v>
      </c>
      <c r="K26" s="73">
        <v>3</v>
      </c>
      <c r="L26" s="74">
        <v>6</v>
      </c>
      <c r="M26" s="74">
        <v>7</v>
      </c>
      <c r="N26" s="74">
        <v>8</v>
      </c>
      <c r="O26" s="74">
        <v>9</v>
      </c>
      <c r="P26" s="74">
        <v>8</v>
      </c>
      <c r="Q26" s="74">
        <v>4</v>
      </c>
      <c r="Z26" s="1" t="s">
        <v>59</v>
      </c>
      <c r="AA26" s="11"/>
      <c r="AB26" s="12">
        <f>(WomData[[#This Row],[Jun-26]]-WomData[[#This Row],[May-26]])/WomData[[#This Row],[May-26]]</f>
        <v>0.33333333333333331</v>
      </c>
      <c r="AC26" s="12">
        <f>(WomData[[#This Row],[Jul-26]]-WomData[[#This Row],[Jun-26]])/WomData[[#This Row],[Jun-26]]</f>
        <v>2</v>
      </c>
      <c r="AD26" s="12">
        <f>(WomData[[#This Row],[Aug-26]]-WomData[[#This Row],[Jul-26]])/WomData[[#This Row],[Jul-26]]</f>
        <v>-0.58333333333333337</v>
      </c>
      <c r="AE26" s="12">
        <f>(WomData[[#This Row],[Sep-26]]-WomData[[#This Row],[Aug-26]])/WomData[[#This Row],[Aug-26]]</f>
        <v>0.4</v>
      </c>
      <c r="AF26" s="12">
        <f>(WomData[[#This Row],[Oct-26]]-WomData[[#This Row],[Sep-26]])/WomData[[#This Row],[Sep-26]]</f>
        <v>-0.7142857142857143</v>
      </c>
      <c r="AG26" s="12">
        <f>(WomData[[#This Row],[Nov-26]]-WomData[[#This Row],[Oct-26]])/WomData[[#This Row],[Oct-26]]</f>
        <v>1.5</v>
      </c>
      <c r="AH26" s="12">
        <f>(WomData[[#This Row],[Dec-26]]-WomData[[#This Row],[Nov-26]])/WomData[[#This Row],[Nov-26]]</f>
        <v>-0.4</v>
      </c>
      <c r="AI26" s="12">
        <f>(WomData[[#This Row],[Jan-27]]-WomData[[#This Row],[Dec-26]])/WomData[[#This Row],[Dec-26]]</f>
        <v>1</v>
      </c>
      <c r="AJ26" s="12">
        <f>(WomData[[#This Row],[Feb-27]]-WomData[[#This Row],[Jan-27]])/WomData[[#This Row],[Jan-27]]</f>
        <v>0.16666666666666666</v>
      </c>
      <c r="AK26" s="12">
        <f>(WomData[[#This Row],[Mar-27]]-WomData[[#This Row],[Feb-27]])/WomData[[#This Row],[Feb-27]]</f>
        <v>0.14285714285714285</v>
      </c>
      <c r="AL26" s="12">
        <f>(WomData[[#This Row],[Apr-27]]-WomData[[#This Row],[Mar-27]])/WomData[[#This Row],[Mar-27]]</f>
        <v>0.125</v>
      </c>
      <c r="AM26" s="12">
        <f>(WomData[[#This Row],[May-27]]-WomData[[#This Row],[Apr-27]])/WomData[[#This Row],[Apr-27]]</f>
        <v>-0.1111111111111111</v>
      </c>
      <c r="AN26" s="12">
        <f>(WomData[[#This Row],[Jun-27]]-WomData[[#This Row],[May-27]])/WomData[[#This Row],[May-27]]</f>
        <v>-0.5</v>
      </c>
    </row>
    <row r="27" spans="3:40">
      <c r="C27" s="1" t="s">
        <v>60</v>
      </c>
      <c r="D27" s="73">
        <v>3</v>
      </c>
      <c r="E27" s="73">
        <v>4</v>
      </c>
      <c r="F27" s="73">
        <v>12</v>
      </c>
      <c r="G27" s="73">
        <v>5</v>
      </c>
      <c r="H27" s="73">
        <v>7</v>
      </c>
      <c r="I27" s="73">
        <v>2</v>
      </c>
      <c r="J27" s="73">
        <v>5</v>
      </c>
      <c r="K27" s="73">
        <v>3</v>
      </c>
      <c r="L27" s="74">
        <v>6</v>
      </c>
      <c r="M27" s="74">
        <v>7</v>
      </c>
      <c r="N27" s="74">
        <v>8</v>
      </c>
      <c r="O27" s="74">
        <v>9</v>
      </c>
      <c r="P27" s="74">
        <v>8</v>
      </c>
      <c r="Q27" s="74">
        <v>4</v>
      </c>
      <c r="Z27" s="1" t="s">
        <v>60</v>
      </c>
      <c r="AA27" s="11"/>
      <c r="AB27" s="12">
        <f>(WomData[[#This Row],[Jun-26]]-WomData[[#This Row],[May-26]])/WomData[[#This Row],[May-26]]</f>
        <v>0.33333333333333331</v>
      </c>
      <c r="AC27" s="12">
        <f>(WomData[[#This Row],[Jul-26]]-WomData[[#This Row],[Jun-26]])/WomData[[#This Row],[Jun-26]]</f>
        <v>2</v>
      </c>
      <c r="AD27" s="12">
        <f>(WomData[[#This Row],[Aug-26]]-WomData[[#This Row],[Jul-26]])/WomData[[#This Row],[Jul-26]]</f>
        <v>-0.58333333333333337</v>
      </c>
      <c r="AE27" s="12">
        <f>(WomData[[#This Row],[Sep-26]]-WomData[[#This Row],[Aug-26]])/WomData[[#This Row],[Aug-26]]</f>
        <v>0.4</v>
      </c>
      <c r="AF27" s="12">
        <f>(WomData[[#This Row],[Oct-26]]-WomData[[#This Row],[Sep-26]])/WomData[[#This Row],[Sep-26]]</f>
        <v>-0.7142857142857143</v>
      </c>
      <c r="AG27" s="12">
        <f>(WomData[[#This Row],[Nov-26]]-WomData[[#This Row],[Oct-26]])/WomData[[#This Row],[Oct-26]]</f>
        <v>1.5</v>
      </c>
      <c r="AH27" s="12">
        <f>(WomData[[#This Row],[Dec-26]]-WomData[[#This Row],[Nov-26]])/WomData[[#This Row],[Nov-26]]</f>
        <v>-0.4</v>
      </c>
      <c r="AI27" s="12">
        <f>(WomData[[#This Row],[Jan-27]]-WomData[[#This Row],[Dec-26]])/WomData[[#This Row],[Dec-26]]</f>
        <v>1</v>
      </c>
      <c r="AJ27" s="12">
        <f>(WomData[[#This Row],[Feb-27]]-WomData[[#This Row],[Jan-27]])/WomData[[#This Row],[Jan-27]]</f>
        <v>0.16666666666666666</v>
      </c>
      <c r="AK27" s="12">
        <f>(WomData[[#This Row],[Mar-27]]-WomData[[#This Row],[Feb-27]])/WomData[[#This Row],[Feb-27]]</f>
        <v>0.14285714285714285</v>
      </c>
      <c r="AL27" s="12">
        <f>(WomData[[#This Row],[Apr-27]]-WomData[[#This Row],[Mar-27]])/WomData[[#This Row],[Mar-27]]</f>
        <v>0.125</v>
      </c>
      <c r="AM27" s="12">
        <f>(WomData[[#This Row],[May-27]]-WomData[[#This Row],[Apr-27]])/WomData[[#This Row],[Apr-27]]</f>
        <v>-0.1111111111111111</v>
      </c>
      <c r="AN27" s="12">
        <f>(WomData[[#This Row],[Jun-27]]-WomData[[#This Row],[May-27]])/WomData[[#This Row],[May-27]]</f>
        <v>-0.5</v>
      </c>
    </row>
    <row r="28" spans="3:40">
      <c r="C28" s="1" t="s">
        <v>61</v>
      </c>
      <c r="D28" s="73">
        <v>3</v>
      </c>
      <c r="E28" s="73">
        <v>4</v>
      </c>
      <c r="F28" s="73">
        <v>12</v>
      </c>
      <c r="G28" s="73">
        <v>5</v>
      </c>
      <c r="H28" s="73">
        <v>7</v>
      </c>
      <c r="I28" s="73">
        <v>2</v>
      </c>
      <c r="J28" s="73">
        <v>5</v>
      </c>
      <c r="K28" s="73">
        <v>3</v>
      </c>
      <c r="L28" s="74">
        <v>6</v>
      </c>
      <c r="M28" s="74">
        <v>7</v>
      </c>
      <c r="N28" s="74">
        <v>8</v>
      </c>
      <c r="O28" s="74">
        <v>9</v>
      </c>
      <c r="P28" s="74">
        <v>8</v>
      </c>
      <c r="Q28" s="74">
        <v>4</v>
      </c>
      <c r="Z28" s="1" t="s">
        <v>61</v>
      </c>
      <c r="AA28" s="11"/>
      <c r="AB28" s="12">
        <f>(WomData[[#This Row],[Jun-26]]-WomData[[#This Row],[May-26]])/WomData[[#This Row],[May-26]]</f>
        <v>0.33333333333333331</v>
      </c>
      <c r="AC28" s="12">
        <f>(WomData[[#This Row],[Jul-26]]-WomData[[#This Row],[Jun-26]])/WomData[[#This Row],[Jun-26]]</f>
        <v>2</v>
      </c>
      <c r="AD28" s="12">
        <f>(WomData[[#This Row],[Aug-26]]-WomData[[#This Row],[Jul-26]])/WomData[[#This Row],[Jul-26]]</f>
        <v>-0.58333333333333337</v>
      </c>
      <c r="AE28" s="12">
        <f>(WomData[[#This Row],[Sep-26]]-WomData[[#This Row],[Aug-26]])/WomData[[#This Row],[Aug-26]]</f>
        <v>0.4</v>
      </c>
      <c r="AF28" s="12">
        <f>(WomData[[#This Row],[Oct-26]]-WomData[[#This Row],[Sep-26]])/WomData[[#This Row],[Sep-26]]</f>
        <v>-0.7142857142857143</v>
      </c>
      <c r="AG28" s="12">
        <f>(WomData[[#This Row],[Nov-26]]-WomData[[#This Row],[Oct-26]])/WomData[[#This Row],[Oct-26]]</f>
        <v>1.5</v>
      </c>
      <c r="AH28" s="12">
        <f>(WomData[[#This Row],[Dec-26]]-WomData[[#This Row],[Nov-26]])/WomData[[#This Row],[Nov-26]]</f>
        <v>-0.4</v>
      </c>
      <c r="AI28" s="12">
        <f>(WomData[[#This Row],[Jan-27]]-WomData[[#This Row],[Dec-26]])/WomData[[#This Row],[Dec-26]]</f>
        <v>1</v>
      </c>
      <c r="AJ28" s="12">
        <f>(WomData[[#This Row],[Feb-27]]-WomData[[#This Row],[Jan-27]])/WomData[[#This Row],[Jan-27]]</f>
        <v>0.16666666666666666</v>
      </c>
      <c r="AK28" s="12">
        <f>(WomData[[#This Row],[Mar-27]]-WomData[[#This Row],[Feb-27]])/WomData[[#This Row],[Feb-27]]</f>
        <v>0.14285714285714285</v>
      </c>
      <c r="AL28" s="12">
        <f>(WomData[[#This Row],[Apr-27]]-WomData[[#This Row],[Mar-27]])/WomData[[#This Row],[Mar-27]]</f>
        <v>0.125</v>
      </c>
      <c r="AM28" s="12">
        <f>(WomData[[#This Row],[May-27]]-WomData[[#This Row],[Apr-27]])/WomData[[#This Row],[Apr-27]]</f>
        <v>-0.1111111111111111</v>
      </c>
      <c r="AN28" s="12">
        <f>(WomData[[#This Row],[Jun-27]]-WomData[[#This Row],[May-27]])/WomData[[#This Row],[May-27]]</f>
        <v>-0.5</v>
      </c>
    </row>
    <row r="29" spans="3:40">
      <c r="C29" s="1" t="s">
        <v>62</v>
      </c>
      <c r="D29" s="73">
        <v>3</v>
      </c>
      <c r="E29" s="73">
        <v>4</v>
      </c>
      <c r="F29" s="73">
        <v>12</v>
      </c>
      <c r="G29" s="73">
        <v>5</v>
      </c>
      <c r="H29" s="73">
        <v>7</v>
      </c>
      <c r="I29" s="73">
        <v>2</v>
      </c>
      <c r="J29" s="73">
        <v>5</v>
      </c>
      <c r="K29" s="73">
        <v>3</v>
      </c>
      <c r="L29" s="74">
        <v>6</v>
      </c>
      <c r="M29" s="74">
        <v>7</v>
      </c>
      <c r="N29" s="74">
        <v>8</v>
      </c>
      <c r="O29" s="74">
        <v>9</v>
      </c>
      <c r="P29" s="74">
        <v>8</v>
      </c>
      <c r="Q29" s="74">
        <v>4</v>
      </c>
      <c r="Z29" s="1" t="s">
        <v>62</v>
      </c>
      <c r="AA29" s="11"/>
      <c r="AB29" s="12">
        <f>(WomData[[#This Row],[Jun-26]]-WomData[[#This Row],[May-26]])/WomData[[#This Row],[May-26]]</f>
        <v>0.33333333333333331</v>
      </c>
      <c r="AC29" s="12">
        <f>(WomData[[#This Row],[Jul-26]]-WomData[[#This Row],[Jun-26]])/WomData[[#This Row],[Jun-26]]</f>
        <v>2</v>
      </c>
      <c r="AD29" s="12">
        <f>(WomData[[#This Row],[Aug-26]]-WomData[[#This Row],[Jul-26]])/WomData[[#This Row],[Jul-26]]</f>
        <v>-0.58333333333333337</v>
      </c>
      <c r="AE29" s="12">
        <f>(WomData[[#This Row],[Sep-26]]-WomData[[#This Row],[Aug-26]])/WomData[[#This Row],[Aug-26]]</f>
        <v>0.4</v>
      </c>
      <c r="AF29" s="12">
        <f>(WomData[[#This Row],[Oct-26]]-WomData[[#This Row],[Sep-26]])/WomData[[#This Row],[Sep-26]]</f>
        <v>-0.7142857142857143</v>
      </c>
      <c r="AG29" s="12">
        <f>(WomData[[#This Row],[Nov-26]]-WomData[[#This Row],[Oct-26]])/WomData[[#This Row],[Oct-26]]</f>
        <v>1.5</v>
      </c>
      <c r="AH29" s="12">
        <f>(WomData[[#This Row],[Dec-26]]-WomData[[#This Row],[Nov-26]])/WomData[[#This Row],[Nov-26]]</f>
        <v>-0.4</v>
      </c>
      <c r="AI29" s="12">
        <f>(WomData[[#This Row],[Jan-27]]-WomData[[#This Row],[Dec-26]])/WomData[[#This Row],[Dec-26]]</f>
        <v>1</v>
      </c>
      <c r="AJ29" s="12">
        <f>(WomData[[#This Row],[Feb-27]]-WomData[[#This Row],[Jan-27]])/WomData[[#This Row],[Jan-27]]</f>
        <v>0.16666666666666666</v>
      </c>
      <c r="AK29" s="12">
        <f>(WomData[[#This Row],[Mar-27]]-WomData[[#This Row],[Feb-27]])/WomData[[#This Row],[Feb-27]]</f>
        <v>0.14285714285714285</v>
      </c>
      <c r="AL29" s="12">
        <f>(WomData[[#This Row],[Apr-27]]-WomData[[#This Row],[Mar-27]])/WomData[[#This Row],[Mar-27]]</f>
        <v>0.125</v>
      </c>
      <c r="AM29" s="12">
        <f>(WomData[[#This Row],[May-27]]-WomData[[#This Row],[Apr-27]])/WomData[[#This Row],[Apr-27]]</f>
        <v>-0.1111111111111111</v>
      </c>
      <c r="AN29" s="12">
        <f>(WomData[[#This Row],[Jun-27]]-WomData[[#This Row],[May-27]])/WomData[[#This Row],[May-27]]</f>
        <v>-0.5</v>
      </c>
    </row>
    <row r="30" spans="3:40">
      <c r="C30" s="1" t="s">
        <v>63</v>
      </c>
      <c r="D30" s="73">
        <v>3</v>
      </c>
      <c r="E30" s="73">
        <v>4</v>
      </c>
      <c r="F30" s="73">
        <v>12</v>
      </c>
      <c r="G30" s="73">
        <v>5</v>
      </c>
      <c r="H30" s="73">
        <v>7</v>
      </c>
      <c r="I30" s="73">
        <v>2</v>
      </c>
      <c r="J30" s="73">
        <v>5</v>
      </c>
      <c r="K30" s="73">
        <v>3</v>
      </c>
      <c r="L30" s="74">
        <v>6</v>
      </c>
      <c r="M30" s="74">
        <v>7</v>
      </c>
      <c r="N30" s="74">
        <v>8</v>
      </c>
      <c r="O30" s="74">
        <v>9</v>
      </c>
      <c r="P30" s="74">
        <v>8</v>
      </c>
      <c r="Q30" s="74">
        <v>4</v>
      </c>
      <c r="Z30" s="1" t="s">
        <v>63</v>
      </c>
      <c r="AA30" s="11"/>
      <c r="AB30" s="12">
        <f>(WomData[[#This Row],[Jun-26]]-WomData[[#This Row],[May-26]])/WomData[[#This Row],[May-26]]</f>
        <v>0.33333333333333331</v>
      </c>
      <c r="AC30" s="12">
        <f>(WomData[[#This Row],[Jul-26]]-WomData[[#This Row],[Jun-26]])/WomData[[#This Row],[Jun-26]]</f>
        <v>2</v>
      </c>
      <c r="AD30" s="12">
        <f>(WomData[[#This Row],[Aug-26]]-WomData[[#This Row],[Jul-26]])/WomData[[#This Row],[Jul-26]]</f>
        <v>-0.58333333333333337</v>
      </c>
      <c r="AE30" s="12">
        <f>(WomData[[#This Row],[Sep-26]]-WomData[[#This Row],[Aug-26]])/WomData[[#This Row],[Aug-26]]</f>
        <v>0.4</v>
      </c>
      <c r="AF30" s="12">
        <f>(WomData[[#This Row],[Oct-26]]-WomData[[#This Row],[Sep-26]])/WomData[[#This Row],[Sep-26]]</f>
        <v>-0.7142857142857143</v>
      </c>
      <c r="AG30" s="12">
        <f>(WomData[[#This Row],[Nov-26]]-WomData[[#This Row],[Oct-26]])/WomData[[#This Row],[Oct-26]]</f>
        <v>1.5</v>
      </c>
      <c r="AH30" s="12">
        <f>(WomData[[#This Row],[Dec-26]]-WomData[[#This Row],[Nov-26]])/WomData[[#This Row],[Nov-26]]</f>
        <v>-0.4</v>
      </c>
      <c r="AI30" s="12">
        <f>(WomData[[#This Row],[Jan-27]]-WomData[[#This Row],[Dec-26]])/WomData[[#This Row],[Dec-26]]</f>
        <v>1</v>
      </c>
      <c r="AJ30" s="12">
        <f>(WomData[[#This Row],[Feb-27]]-WomData[[#This Row],[Jan-27]])/WomData[[#This Row],[Jan-27]]</f>
        <v>0.16666666666666666</v>
      </c>
      <c r="AK30" s="12">
        <f>(WomData[[#This Row],[Mar-27]]-WomData[[#This Row],[Feb-27]])/WomData[[#This Row],[Feb-27]]</f>
        <v>0.14285714285714285</v>
      </c>
      <c r="AL30" s="12">
        <f>(WomData[[#This Row],[Apr-27]]-WomData[[#This Row],[Mar-27]])/WomData[[#This Row],[Mar-27]]</f>
        <v>0.125</v>
      </c>
      <c r="AM30" s="12">
        <f>(WomData[[#This Row],[May-27]]-WomData[[#This Row],[Apr-27]])/WomData[[#This Row],[Apr-27]]</f>
        <v>-0.1111111111111111</v>
      </c>
      <c r="AN30" s="12">
        <f>(WomData[[#This Row],[Jun-27]]-WomData[[#This Row],[May-27]])/WomData[[#This Row],[May-27]]</f>
        <v>-0.5</v>
      </c>
    </row>
    <row r="31" spans="3:40">
      <c r="C31" s="1" t="s">
        <v>64</v>
      </c>
      <c r="D31" s="73">
        <v>3</v>
      </c>
      <c r="E31" s="73">
        <v>4</v>
      </c>
      <c r="F31" s="73">
        <v>12</v>
      </c>
      <c r="G31" s="73">
        <v>5</v>
      </c>
      <c r="H31" s="73">
        <v>7</v>
      </c>
      <c r="I31" s="73">
        <v>2</v>
      </c>
      <c r="J31" s="73">
        <v>5</v>
      </c>
      <c r="K31" s="73">
        <v>3</v>
      </c>
      <c r="L31" s="74">
        <v>6</v>
      </c>
      <c r="M31" s="74">
        <v>7</v>
      </c>
      <c r="N31" s="74">
        <v>8</v>
      </c>
      <c r="O31" s="74">
        <v>9</v>
      </c>
      <c r="P31" s="74">
        <v>8</v>
      </c>
      <c r="Q31" s="74">
        <v>4</v>
      </c>
      <c r="Z31" s="1" t="s">
        <v>64</v>
      </c>
      <c r="AA31" s="11"/>
      <c r="AB31" s="12">
        <f>(WomData[[#This Row],[Jun-26]]-WomData[[#This Row],[May-26]])/WomData[[#This Row],[May-26]]</f>
        <v>0.33333333333333331</v>
      </c>
      <c r="AC31" s="12">
        <f>(WomData[[#This Row],[Jul-26]]-WomData[[#This Row],[Jun-26]])/WomData[[#This Row],[Jun-26]]</f>
        <v>2</v>
      </c>
      <c r="AD31" s="12">
        <f>(WomData[[#This Row],[Aug-26]]-WomData[[#This Row],[Jul-26]])/WomData[[#This Row],[Jul-26]]</f>
        <v>-0.58333333333333337</v>
      </c>
      <c r="AE31" s="12">
        <f>(WomData[[#This Row],[Sep-26]]-WomData[[#This Row],[Aug-26]])/WomData[[#This Row],[Aug-26]]</f>
        <v>0.4</v>
      </c>
      <c r="AF31" s="12">
        <f>(WomData[[#This Row],[Oct-26]]-WomData[[#This Row],[Sep-26]])/WomData[[#This Row],[Sep-26]]</f>
        <v>-0.7142857142857143</v>
      </c>
      <c r="AG31" s="12">
        <f>(WomData[[#This Row],[Nov-26]]-WomData[[#This Row],[Oct-26]])/WomData[[#This Row],[Oct-26]]</f>
        <v>1.5</v>
      </c>
      <c r="AH31" s="12">
        <f>(WomData[[#This Row],[Dec-26]]-WomData[[#This Row],[Nov-26]])/WomData[[#This Row],[Nov-26]]</f>
        <v>-0.4</v>
      </c>
      <c r="AI31" s="12">
        <f>(WomData[[#This Row],[Jan-27]]-WomData[[#This Row],[Dec-26]])/WomData[[#This Row],[Dec-26]]</f>
        <v>1</v>
      </c>
      <c r="AJ31" s="12">
        <f>(WomData[[#This Row],[Feb-27]]-WomData[[#This Row],[Jan-27]])/WomData[[#This Row],[Jan-27]]</f>
        <v>0.16666666666666666</v>
      </c>
      <c r="AK31" s="12">
        <f>(WomData[[#This Row],[Mar-27]]-WomData[[#This Row],[Feb-27]])/WomData[[#This Row],[Feb-27]]</f>
        <v>0.14285714285714285</v>
      </c>
      <c r="AL31" s="12">
        <f>(WomData[[#This Row],[Apr-27]]-WomData[[#This Row],[Mar-27]])/WomData[[#This Row],[Mar-27]]</f>
        <v>0.125</v>
      </c>
      <c r="AM31" s="12">
        <f>(WomData[[#This Row],[May-27]]-WomData[[#This Row],[Apr-27]])/WomData[[#This Row],[Apr-27]]</f>
        <v>-0.1111111111111111</v>
      </c>
      <c r="AN31" s="12">
        <f>(WomData[[#This Row],[Jun-27]]-WomData[[#This Row],[May-27]])/WomData[[#This Row],[May-27]]</f>
        <v>-0.5</v>
      </c>
    </row>
    <row r="32" spans="3:40">
      <c r="C32" s="1" t="s">
        <v>65</v>
      </c>
      <c r="D32" s="73">
        <v>3</v>
      </c>
      <c r="E32" s="73">
        <v>4</v>
      </c>
      <c r="F32" s="73">
        <v>12</v>
      </c>
      <c r="G32" s="73">
        <v>5</v>
      </c>
      <c r="H32" s="73">
        <v>7</v>
      </c>
      <c r="I32" s="73">
        <v>2</v>
      </c>
      <c r="J32" s="73">
        <v>5</v>
      </c>
      <c r="K32" s="73">
        <v>3</v>
      </c>
      <c r="L32" s="74">
        <v>6</v>
      </c>
      <c r="M32" s="74">
        <v>7</v>
      </c>
      <c r="N32" s="74">
        <v>8</v>
      </c>
      <c r="O32" s="74">
        <v>9</v>
      </c>
      <c r="P32" s="74">
        <v>8</v>
      </c>
      <c r="Q32" s="74">
        <v>4</v>
      </c>
      <c r="Z32" s="1" t="s">
        <v>65</v>
      </c>
      <c r="AA32" s="11"/>
      <c r="AB32" s="12">
        <f>(WomData[[#This Row],[Jun-26]]-WomData[[#This Row],[May-26]])/WomData[[#This Row],[May-26]]</f>
        <v>0.33333333333333331</v>
      </c>
      <c r="AC32" s="12">
        <f>(WomData[[#This Row],[Jul-26]]-WomData[[#This Row],[Jun-26]])/WomData[[#This Row],[Jun-26]]</f>
        <v>2</v>
      </c>
      <c r="AD32" s="12">
        <f>(WomData[[#This Row],[Aug-26]]-WomData[[#This Row],[Jul-26]])/WomData[[#This Row],[Jul-26]]</f>
        <v>-0.58333333333333337</v>
      </c>
      <c r="AE32" s="12">
        <f>(WomData[[#This Row],[Sep-26]]-WomData[[#This Row],[Aug-26]])/WomData[[#This Row],[Aug-26]]</f>
        <v>0.4</v>
      </c>
      <c r="AF32" s="12">
        <f>(WomData[[#This Row],[Oct-26]]-WomData[[#This Row],[Sep-26]])/WomData[[#This Row],[Sep-26]]</f>
        <v>-0.7142857142857143</v>
      </c>
      <c r="AG32" s="12">
        <f>(WomData[[#This Row],[Nov-26]]-WomData[[#This Row],[Oct-26]])/WomData[[#This Row],[Oct-26]]</f>
        <v>1.5</v>
      </c>
      <c r="AH32" s="12">
        <f>(WomData[[#This Row],[Dec-26]]-WomData[[#This Row],[Nov-26]])/WomData[[#This Row],[Nov-26]]</f>
        <v>-0.4</v>
      </c>
      <c r="AI32" s="12">
        <f>(WomData[[#This Row],[Jan-27]]-WomData[[#This Row],[Dec-26]])/WomData[[#This Row],[Dec-26]]</f>
        <v>1</v>
      </c>
      <c r="AJ32" s="12">
        <f>(WomData[[#This Row],[Feb-27]]-WomData[[#This Row],[Jan-27]])/WomData[[#This Row],[Jan-27]]</f>
        <v>0.16666666666666666</v>
      </c>
      <c r="AK32" s="12">
        <f>(WomData[[#This Row],[Mar-27]]-WomData[[#This Row],[Feb-27]])/WomData[[#This Row],[Feb-27]]</f>
        <v>0.14285714285714285</v>
      </c>
      <c r="AL32" s="12">
        <f>(WomData[[#This Row],[Apr-27]]-WomData[[#This Row],[Mar-27]])/WomData[[#This Row],[Mar-27]]</f>
        <v>0.125</v>
      </c>
      <c r="AM32" s="12">
        <f>(WomData[[#This Row],[May-27]]-WomData[[#This Row],[Apr-27]])/WomData[[#This Row],[Apr-27]]</f>
        <v>-0.1111111111111111</v>
      </c>
      <c r="AN32" s="12">
        <f>(WomData[[#This Row],[Jun-27]]-WomData[[#This Row],[May-27]])/WomData[[#This Row],[May-27]]</f>
        <v>-0.5</v>
      </c>
    </row>
    <row r="33" spans="3:40">
      <c r="C33" s="1" t="s">
        <v>66</v>
      </c>
      <c r="D33" s="73">
        <v>3</v>
      </c>
      <c r="E33" s="73">
        <v>4</v>
      </c>
      <c r="F33" s="73">
        <v>12</v>
      </c>
      <c r="G33" s="73">
        <v>5</v>
      </c>
      <c r="H33" s="73">
        <v>7</v>
      </c>
      <c r="I33" s="73">
        <v>2</v>
      </c>
      <c r="J33" s="73">
        <v>5</v>
      </c>
      <c r="K33" s="73">
        <v>3</v>
      </c>
      <c r="L33" s="74">
        <v>6</v>
      </c>
      <c r="M33" s="74">
        <v>7</v>
      </c>
      <c r="N33" s="74">
        <v>8</v>
      </c>
      <c r="O33" s="74">
        <v>9</v>
      </c>
      <c r="P33" s="74">
        <v>8</v>
      </c>
      <c r="Q33" s="74">
        <v>4</v>
      </c>
      <c r="Z33" s="1" t="s">
        <v>66</v>
      </c>
      <c r="AA33" s="11"/>
      <c r="AB33" s="12">
        <f>(WomData[[#This Row],[Jun-26]]-WomData[[#This Row],[May-26]])/WomData[[#This Row],[May-26]]</f>
        <v>0.33333333333333331</v>
      </c>
      <c r="AC33" s="12">
        <f>(WomData[[#This Row],[Jul-26]]-WomData[[#This Row],[Jun-26]])/WomData[[#This Row],[Jun-26]]</f>
        <v>2</v>
      </c>
      <c r="AD33" s="12">
        <f>(WomData[[#This Row],[Aug-26]]-WomData[[#This Row],[Jul-26]])/WomData[[#This Row],[Jul-26]]</f>
        <v>-0.58333333333333337</v>
      </c>
      <c r="AE33" s="12">
        <f>(WomData[[#This Row],[Sep-26]]-WomData[[#This Row],[Aug-26]])/WomData[[#This Row],[Aug-26]]</f>
        <v>0.4</v>
      </c>
      <c r="AF33" s="12">
        <f>(WomData[[#This Row],[Oct-26]]-WomData[[#This Row],[Sep-26]])/WomData[[#This Row],[Sep-26]]</f>
        <v>-0.7142857142857143</v>
      </c>
      <c r="AG33" s="12">
        <f>(WomData[[#This Row],[Nov-26]]-WomData[[#This Row],[Oct-26]])/WomData[[#This Row],[Oct-26]]</f>
        <v>1.5</v>
      </c>
      <c r="AH33" s="12">
        <f>(WomData[[#This Row],[Dec-26]]-WomData[[#This Row],[Nov-26]])/WomData[[#This Row],[Nov-26]]</f>
        <v>-0.4</v>
      </c>
      <c r="AI33" s="12">
        <f>(WomData[[#This Row],[Jan-27]]-WomData[[#This Row],[Dec-26]])/WomData[[#This Row],[Dec-26]]</f>
        <v>1</v>
      </c>
      <c r="AJ33" s="12">
        <f>(WomData[[#This Row],[Feb-27]]-WomData[[#This Row],[Jan-27]])/WomData[[#This Row],[Jan-27]]</f>
        <v>0.16666666666666666</v>
      </c>
      <c r="AK33" s="12">
        <f>(WomData[[#This Row],[Mar-27]]-WomData[[#This Row],[Feb-27]])/WomData[[#This Row],[Feb-27]]</f>
        <v>0.14285714285714285</v>
      </c>
      <c r="AL33" s="12">
        <f>(WomData[[#This Row],[Apr-27]]-WomData[[#This Row],[Mar-27]])/WomData[[#This Row],[Mar-27]]</f>
        <v>0.125</v>
      </c>
      <c r="AM33" s="12">
        <f>(WomData[[#This Row],[May-27]]-WomData[[#This Row],[Apr-27]])/WomData[[#This Row],[Apr-27]]</f>
        <v>-0.1111111111111111</v>
      </c>
      <c r="AN33" s="12">
        <f>(WomData[[#This Row],[Jun-27]]-WomData[[#This Row],[May-27]])/WomData[[#This Row],[May-27]]</f>
        <v>-0.5</v>
      </c>
    </row>
    <row r="34" spans="3:40">
      <c r="C34" s="1" t="s">
        <v>67</v>
      </c>
      <c r="D34" s="73">
        <v>3</v>
      </c>
      <c r="E34" s="73">
        <v>4</v>
      </c>
      <c r="F34" s="73">
        <v>12</v>
      </c>
      <c r="G34" s="73">
        <v>5</v>
      </c>
      <c r="H34" s="73">
        <v>7</v>
      </c>
      <c r="I34" s="73">
        <v>2</v>
      </c>
      <c r="J34" s="73">
        <v>5</v>
      </c>
      <c r="K34" s="73">
        <v>3</v>
      </c>
      <c r="L34" s="74">
        <v>6</v>
      </c>
      <c r="M34" s="74">
        <v>7</v>
      </c>
      <c r="N34" s="74">
        <v>8</v>
      </c>
      <c r="O34" s="74">
        <v>9</v>
      </c>
      <c r="P34" s="74">
        <v>8</v>
      </c>
      <c r="Q34" s="74">
        <v>4</v>
      </c>
      <c r="Z34" s="1" t="s">
        <v>67</v>
      </c>
      <c r="AA34" s="11"/>
      <c r="AB34" s="12">
        <f>(WomData[[#This Row],[Jun-26]]-WomData[[#This Row],[May-26]])/WomData[[#This Row],[May-26]]</f>
        <v>0.33333333333333331</v>
      </c>
      <c r="AC34" s="12">
        <f>(WomData[[#This Row],[Jul-26]]-WomData[[#This Row],[Jun-26]])/WomData[[#This Row],[Jun-26]]</f>
        <v>2</v>
      </c>
      <c r="AD34" s="12">
        <f>(WomData[[#This Row],[Aug-26]]-WomData[[#This Row],[Jul-26]])/WomData[[#This Row],[Jul-26]]</f>
        <v>-0.58333333333333337</v>
      </c>
      <c r="AE34" s="12">
        <f>(WomData[[#This Row],[Sep-26]]-WomData[[#This Row],[Aug-26]])/WomData[[#This Row],[Aug-26]]</f>
        <v>0.4</v>
      </c>
      <c r="AF34" s="12">
        <f>(WomData[[#This Row],[Oct-26]]-WomData[[#This Row],[Sep-26]])/WomData[[#This Row],[Sep-26]]</f>
        <v>-0.7142857142857143</v>
      </c>
      <c r="AG34" s="12">
        <f>(WomData[[#This Row],[Nov-26]]-WomData[[#This Row],[Oct-26]])/WomData[[#This Row],[Oct-26]]</f>
        <v>1.5</v>
      </c>
      <c r="AH34" s="12">
        <f>(WomData[[#This Row],[Dec-26]]-WomData[[#This Row],[Nov-26]])/WomData[[#This Row],[Nov-26]]</f>
        <v>-0.4</v>
      </c>
      <c r="AI34" s="12">
        <f>(WomData[[#This Row],[Jan-27]]-WomData[[#This Row],[Dec-26]])/WomData[[#This Row],[Dec-26]]</f>
        <v>1</v>
      </c>
      <c r="AJ34" s="12">
        <f>(WomData[[#This Row],[Feb-27]]-WomData[[#This Row],[Jan-27]])/WomData[[#This Row],[Jan-27]]</f>
        <v>0.16666666666666666</v>
      </c>
      <c r="AK34" s="12">
        <f>(WomData[[#This Row],[Mar-27]]-WomData[[#This Row],[Feb-27]])/WomData[[#This Row],[Feb-27]]</f>
        <v>0.14285714285714285</v>
      </c>
      <c r="AL34" s="12">
        <f>(WomData[[#This Row],[Apr-27]]-WomData[[#This Row],[Mar-27]])/WomData[[#This Row],[Mar-27]]</f>
        <v>0.125</v>
      </c>
      <c r="AM34" s="12">
        <f>(WomData[[#This Row],[May-27]]-WomData[[#This Row],[Apr-27]])/WomData[[#This Row],[Apr-27]]</f>
        <v>-0.1111111111111111</v>
      </c>
      <c r="AN34" s="12">
        <f>(WomData[[#This Row],[Jun-27]]-WomData[[#This Row],[May-27]])/WomData[[#This Row],[May-27]]</f>
        <v>-0.5</v>
      </c>
    </row>
  </sheetData>
  <sheetProtection algorithmName="SHA-512" hashValue="yvtWLuFRmA3jYPUGAtLhvD71i6/NU3N50OyXPecPoRMgXjTXkEgxImzE9dTSZys1frxGlVDYFTpfpZFn8Fr40A==" saltValue="dQmx9kKVB+Bk2QZOTmjUTA==" spinCount="100000" sheet="1" objects="1" scenarios="1" selectLockedCells="1"/>
  <mergeCells count="2">
    <mergeCell ref="X2:Z2"/>
    <mergeCell ref="A3:B3"/>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EEAC1-4F9E-41D9-B007-CA17E9380ACF}">
  <sheetPr codeName="Sheet8">
    <tabColor rgb="FFFF0000"/>
  </sheetPr>
  <dimension ref="A1:CV68"/>
  <sheetViews>
    <sheetView showGridLines="0" topLeftCell="BV1" zoomScale="49" zoomScaleNormal="80" workbookViewId="0">
      <selection activeCell="V16" sqref="V16"/>
    </sheetView>
  </sheetViews>
  <sheetFormatPr defaultColWidth="8.81640625" defaultRowHeight="16.5"/>
  <cols>
    <col min="1" max="1" width="8.81640625" style="1"/>
    <col min="2" max="2" width="17.6328125" style="1" bestFit="1" customWidth="1"/>
    <col min="3" max="3" width="9.6328125" style="1" bestFit="1" customWidth="1"/>
    <col min="4" max="4" width="16.6328125" style="1" bestFit="1" customWidth="1"/>
    <col min="5" max="5" width="16.6328125" style="1" customWidth="1"/>
    <col min="6" max="9" width="8.81640625" style="1"/>
    <col min="10" max="10" width="17.1796875" style="1" bestFit="1" customWidth="1"/>
    <col min="11" max="11" width="10.453125" style="1" bestFit="1" customWidth="1"/>
    <col min="12" max="12" width="18.1796875" style="1" customWidth="1"/>
    <col min="13" max="15" width="8.81640625" style="1"/>
    <col min="16" max="16" width="9.1796875" style="1" bestFit="1" customWidth="1"/>
    <col min="17" max="17" width="17.81640625" style="1" bestFit="1" customWidth="1"/>
    <col min="18" max="18" width="17.6328125" style="1" bestFit="1" customWidth="1"/>
    <col min="19" max="19" width="17" style="1" bestFit="1" customWidth="1"/>
    <col min="20" max="20" width="17.36328125" style="1" bestFit="1" customWidth="1"/>
    <col min="21" max="23" width="8.81640625" style="1"/>
    <col min="24" max="24" width="9.1796875" style="1" bestFit="1" customWidth="1"/>
    <col min="25" max="25" width="17.81640625" style="1" bestFit="1" customWidth="1"/>
    <col min="26" max="26" width="17.6328125" style="1" bestFit="1" customWidth="1"/>
    <col min="27" max="27" width="18.1796875" style="1" bestFit="1" customWidth="1"/>
    <col min="28" max="28" width="16.6328125" style="1" bestFit="1" customWidth="1"/>
    <col min="29" max="32" width="8.81640625" style="1"/>
    <col min="33" max="33" width="17.6328125" style="1" bestFit="1" customWidth="1"/>
    <col min="34" max="34" width="10.1796875" style="1" bestFit="1" customWidth="1"/>
    <col min="35" max="35" width="17" style="1" bestFit="1" customWidth="1"/>
    <col min="36" max="36" width="16.6328125" style="1" bestFit="1" customWidth="1"/>
    <col min="37" max="37" width="8.81640625" style="1" bestFit="1" customWidth="1"/>
    <col min="38" max="38" width="17.6328125" style="1" bestFit="1" customWidth="1"/>
    <col min="39" max="39" width="9.6328125" style="1" bestFit="1" customWidth="1"/>
    <col min="40" max="40" width="16.6328125" style="1" bestFit="1" customWidth="1"/>
    <col min="41" max="41" width="17.6328125" style="1" bestFit="1" customWidth="1"/>
    <col min="42" max="42" width="10.1796875" style="1" bestFit="1" customWidth="1"/>
    <col min="43" max="43" width="16.6328125" style="1" bestFit="1" customWidth="1"/>
    <col min="44" max="48" width="8.81640625" style="1"/>
    <col min="49" max="49" width="17.6328125" style="1" bestFit="1" customWidth="1"/>
    <col min="50" max="50" width="10.1796875" style="1" bestFit="1" customWidth="1"/>
    <col min="51" max="51" width="17" style="1" bestFit="1" customWidth="1"/>
    <col min="52" max="57" width="8.81640625" style="1"/>
    <col min="58" max="58" width="18" style="1" bestFit="1" customWidth="1"/>
    <col min="59" max="59" width="10.7265625" style="1" bestFit="1" customWidth="1"/>
    <col min="60" max="60" width="17.54296875" style="1" bestFit="1" customWidth="1"/>
    <col min="61" max="65" width="8.81640625" style="1"/>
    <col min="66" max="66" width="18" style="1" bestFit="1" customWidth="1"/>
    <col min="67" max="67" width="10.7265625" style="1" bestFit="1" customWidth="1"/>
    <col min="68" max="68" width="17.54296875" style="1" bestFit="1" customWidth="1"/>
    <col min="69" max="73" width="8.81640625" style="1"/>
    <col min="74" max="74" width="10.7265625" style="1" bestFit="1" customWidth="1"/>
    <col min="75" max="75" width="17.54296875" style="1" bestFit="1" customWidth="1"/>
    <col min="76" max="81" width="8.81640625" style="1"/>
    <col min="82" max="82" width="11.6328125" style="1" bestFit="1" customWidth="1"/>
    <col min="83" max="83" width="17.54296875" style="1" bestFit="1" customWidth="1"/>
    <col min="84" max="89" width="8.81640625" style="1"/>
    <col min="90" max="90" width="10.7265625" style="1" customWidth="1"/>
    <col min="91" max="91" width="17.54296875" style="1" bestFit="1" customWidth="1"/>
    <col min="92" max="96" width="8.81640625" style="1"/>
    <col min="97" max="97" width="18" style="1" bestFit="1" customWidth="1"/>
    <col min="98" max="98" width="10.7265625" style="1" bestFit="1" customWidth="1"/>
    <col min="99" max="99" width="17.54296875" style="1" bestFit="1" customWidth="1"/>
    <col min="100" max="16384" width="8.81640625" style="1"/>
  </cols>
  <sheetData>
    <row r="1" spans="1:100">
      <c r="A1" s="96" t="s">
        <v>70</v>
      </c>
      <c r="B1" s="96"/>
      <c r="C1" s="74"/>
      <c r="D1" s="74"/>
      <c r="E1" s="74"/>
      <c r="F1" s="74"/>
      <c r="G1" s="74"/>
      <c r="H1" s="74"/>
      <c r="I1" s="96" t="s">
        <v>69</v>
      </c>
      <c r="J1" s="96"/>
      <c r="K1" s="74"/>
      <c r="L1" s="74"/>
      <c r="M1" s="74"/>
      <c r="N1" s="74"/>
      <c r="O1" s="74"/>
      <c r="P1" s="96" t="s">
        <v>36</v>
      </c>
      <c r="Q1" s="96"/>
      <c r="R1" s="74"/>
      <c r="S1" s="74"/>
      <c r="T1" s="74"/>
      <c r="U1" s="74"/>
      <c r="V1" s="74"/>
      <c r="W1" s="74"/>
      <c r="X1" s="75" t="s">
        <v>35</v>
      </c>
      <c r="Y1" s="75"/>
      <c r="Z1" s="74"/>
      <c r="AA1" s="74"/>
      <c r="AB1" s="74"/>
      <c r="AC1" s="74"/>
      <c r="AD1" s="74"/>
      <c r="AE1" s="74"/>
      <c r="AF1" s="75" t="s">
        <v>34</v>
      </c>
      <c r="AG1" s="75"/>
      <c r="AH1" s="74"/>
      <c r="AI1" s="74"/>
      <c r="AJ1" s="74"/>
      <c r="AK1" s="74"/>
      <c r="AL1" s="74"/>
      <c r="AM1" s="74"/>
      <c r="AN1" s="75" t="s">
        <v>33</v>
      </c>
      <c r="AO1" s="75"/>
      <c r="AP1" s="74"/>
      <c r="AQ1" s="74"/>
      <c r="AR1" s="74"/>
      <c r="AS1" s="74"/>
      <c r="AT1" s="74"/>
      <c r="AU1" s="74"/>
      <c r="AV1" s="75" t="s">
        <v>32</v>
      </c>
      <c r="AW1" s="75"/>
      <c r="AX1" s="74"/>
      <c r="AY1" s="74"/>
      <c r="AZ1" s="74"/>
      <c r="BA1" s="74"/>
      <c r="BB1" s="74"/>
      <c r="BC1" s="74"/>
      <c r="BD1" s="74"/>
      <c r="BE1" s="96" t="s">
        <v>79</v>
      </c>
      <c r="BF1" s="96"/>
      <c r="BG1" s="74"/>
      <c r="BH1" s="74"/>
      <c r="BI1" s="74"/>
      <c r="BJ1" s="74"/>
      <c r="BK1" s="74"/>
      <c r="BL1" s="74"/>
      <c r="BM1" s="96" t="s">
        <v>80</v>
      </c>
      <c r="BN1" s="96"/>
      <c r="BO1" s="74"/>
      <c r="BP1" s="74"/>
      <c r="BQ1" s="74"/>
      <c r="BR1" s="74"/>
      <c r="BS1" s="74"/>
      <c r="BT1" s="96" t="s">
        <v>81</v>
      </c>
      <c r="BU1" s="96"/>
      <c r="BV1" s="74"/>
      <c r="BW1" s="74"/>
      <c r="BX1" s="74"/>
      <c r="BY1" s="74"/>
      <c r="BZ1" s="74"/>
      <c r="CA1" s="74"/>
      <c r="CB1" s="75" t="s">
        <v>82</v>
      </c>
      <c r="CC1" s="75"/>
      <c r="CD1" s="74"/>
      <c r="CE1" s="74"/>
      <c r="CF1" s="74"/>
      <c r="CG1" s="74"/>
      <c r="CH1" s="74"/>
      <c r="CI1" s="74"/>
      <c r="CJ1" s="75" t="s">
        <v>83</v>
      </c>
      <c r="CK1" s="75"/>
      <c r="CL1" s="74"/>
      <c r="CM1" s="74"/>
      <c r="CN1" s="74"/>
      <c r="CO1" s="74"/>
      <c r="CP1" s="74"/>
      <c r="CQ1" s="74"/>
      <c r="CR1" s="75" t="s">
        <v>70</v>
      </c>
      <c r="CS1" s="75"/>
      <c r="CT1" s="74"/>
      <c r="CU1" s="74"/>
      <c r="CV1" s="74"/>
    </row>
    <row r="2" spans="1:100">
      <c r="A2" s="74"/>
      <c r="B2" s="74"/>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row>
    <row r="3" spans="1:100">
      <c r="A3" s="74" t="s">
        <v>1</v>
      </c>
      <c r="B3" s="74" t="s">
        <v>2</v>
      </c>
      <c r="C3" s="74" t="s">
        <v>3</v>
      </c>
      <c r="D3" s="74" t="s">
        <v>31</v>
      </c>
      <c r="E3" s="74"/>
      <c r="F3" s="74"/>
      <c r="G3" s="74"/>
      <c r="H3" s="74"/>
      <c r="I3" s="74" t="s">
        <v>1</v>
      </c>
      <c r="J3" s="74" t="s">
        <v>2</v>
      </c>
      <c r="K3" s="74" t="s">
        <v>3</v>
      </c>
      <c r="L3" s="74" t="s">
        <v>31</v>
      </c>
      <c r="M3" s="74"/>
      <c r="N3" s="74"/>
      <c r="O3" s="74"/>
      <c r="P3" s="74" t="s">
        <v>1</v>
      </c>
      <c r="Q3" s="74" t="s">
        <v>2</v>
      </c>
      <c r="R3" s="74" t="s">
        <v>3</v>
      </c>
      <c r="S3" s="74" t="s">
        <v>31</v>
      </c>
      <c r="T3" s="74"/>
      <c r="U3" s="74"/>
      <c r="V3" s="74"/>
      <c r="W3" s="74"/>
      <c r="X3" s="74" t="s">
        <v>1</v>
      </c>
      <c r="Y3" s="74" t="s">
        <v>2</v>
      </c>
      <c r="Z3" s="74" t="s">
        <v>3</v>
      </c>
      <c r="AA3" s="74" t="s">
        <v>31</v>
      </c>
      <c r="AB3" s="74"/>
      <c r="AC3" s="74"/>
      <c r="AD3" s="74"/>
      <c r="AE3" s="74"/>
      <c r="AF3" s="74" t="s">
        <v>1</v>
      </c>
      <c r="AG3" s="74" t="s">
        <v>2</v>
      </c>
      <c r="AH3" s="74" t="s">
        <v>3</v>
      </c>
      <c r="AI3" s="74" t="s">
        <v>31</v>
      </c>
      <c r="AJ3" s="74"/>
      <c r="AK3" s="74"/>
      <c r="AL3" s="74"/>
      <c r="AM3" s="74"/>
      <c r="AN3" s="74" t="s">
        <v>1</v>
      </c>
      <c r="AO3" s="74" t="s">
        <v>2</v>
      </c>
      <c r="AP3" s="74" t="s">
        <v>3</v>
      </c>
      <c r="AQ3" s="74" t="s">
        <v>31</v>
      </c>
      <c r="AR3" s="74"/>
      <c r="AS3" s="74"/>
      <c r="AT3" s="74"/>
      <c r="AU3" s="74"/>
      <c r="AV3" s="74" t="s">
        <v>1</v>
      </c>
      <c r="AW3" s="74" t="s">
        <v>2</v>
      </c>
      <c r="AX3" s="74" t="s">
        <v>3</v>
      </c>
      <c r="AY3" s="74" t="s">
        <v>31</v>
      </c>
      <c r="AZ3" s="74"/>
      <c r="BA3" s="74"/>
      <c r="BB3" s="74"/>
      <c r="BC3" s="74"/>
      <c r="BD3" s="74"/>
      <c r="BE3" s="74" t="s">
        <v>1</v>
      </c>
      <c r="BF3" s="74" t="s">
        <v>2</v>
      </c>
      <c r="BG3" s="74" t="s">
        <v>3</v>
      </c>
      <c r="BH3" s="74" t="s">
        <v>31</v>
      </c>
      <c r="BI3" s="74"/>
      <c r="BJ3" s="74"/>
      <c r="BK3" s="74"/>
      <c r="BL3" s="74"/>
      <c r="BM3" s="74" t="s">
        <v>1</v>
      </c>
      <c r="BN3" s="74" t="s">
        <v>2</v>
      </c>
      <c r="BO3" s="74" t="s">
        <v>3</v>
      </c>
      <c r="BP3" s="74" t="s">
        <v>31</v>
      </c>
      <c r="BQ3" s="74"/>
      <c r="BR3" s="74"/>
      <c r="BS3" s="74"/>
      <c r="BT3" s="74" t="s">
        <v>1</v>
      </c>
      <c r="BU3" s="74" t="s">
        <v>2</v>
      </c>
      <c r="BV3" s="74" t="s">
        <v>3</v>
      </c>
      <c r="BW3" s="74" t="s">
        <v>31</v>
      </c>
      <c r="BX3" s="74"/>
      <c r="BY3" s="74"/>
      <c r="BZ3" s="74"/>
      <c r="CA3" s="74"/>
      <c r="CB3" s="74" t="s">
        <v>1</v>
      </c>
      <c r="CC3" s="74" t="s">
        <v>2</v>
      </c>
      <c r="CD3" s="74" t="s">
        <v>3</v>
      </c>
      <c r="CE3" s="74" t="s">
        <v>31</v>
      </c>
      <c r="CF3" s="74"/>
      <c r="CG3" s="74"/>
      <c r="CH3" s="74"/>
      <c r="CI3" s="74"/>
      <c r="CJ3" s="74" t="s">
        <v>1</v>
      </c>
      <c r="CK3" s="74" t="s">
        <v>2</v>
      </c>
      <c r="CL3" s="74" t="s">
        <v>3</v>
      </c>
      <c r="CM3" s="74" t="s">
        <v>31</v>
      </c>
      <c r="CN3" s="74"/>
      <c r="CO3" s="74"/>
      <c r="CP3" s="74"/>
      <c r="CQ3" s="74"/>
      <c r="CR3" s="74" t="s">
        <v>1</v>
      </c>
      <c r="CS3" s="74" t="s">
        <v>2</v>
      </c>
      <c r="CT3" s="74" t="s">
        <v>3</v>
      </c>
      <c r="CU3" s="74" t="s">
        <v>31</v>
      </c>
      <c r="CV3" s="74"/>
    </row>
    <row r="4" spans="1:100">
      <c r="A4" s="74"/>
      <c r="B4" s="74" t="s">
        <v>8</v>
      </c>
      <c r="C4" s="73">
        <f>'Womens Data'!E5</f>
        <v>4</v>
      </c>
      <c r="D4" s="76">
        <f>'Womens Data'!AB5</f>
        <v>0.33333333333333331</v>
      </c>
      <c r="E4" s="74"/>
      <c r="F4" s="74"/>
      <c r="G4" s="74"/>
      <c r="H4" s="74"/>
      <c r="I4" s="74"/>
      <c r="J4" s="74" t="s">
        <v>8</v>
      </c>
      <c r="K4" s="73">
        <f>'Womens Data'!F5</f>
        <v>12</v>
      </c>
      <c r="L4" s="76">
        <f>'Womens Data'!AC5</f>
        <v>2</v>
      </c>
      <c r="M4" s="74"/>
      <c r="N4" s="74"/>
      <c r="O4" s="74"/>
      <c r="P4" s="74"/>
      <c r="Q4" s="74" t="s">
        <v>8</v>
      </c>
      <c r="R4" s="73">
        <f>'Womens Data'!G5</f>
        <v>5</v>
      </c>
      <c r="S4" s="76">
        <f>'Womens Data'!AD5</f>
        <v>-0.58333333333333337</v>
      </c>
      <c r="T4" s="74"/>
      <c r="U4" s="74"/>
      <c r="V4" s="74"/>
      <c r="W4" s="74"/>
      <c r="X4" s="74"/>
      <c r="Y4" s="74" t="s">
        <v>8</v>
      </c>
      <c r="Z4" s="73">
        <f>'Womens Data'!H5</f>
        <v>7</v>
      </c>
      <c r="AA4" s="76">
        <f>'Womens Data'!AE5</f>
        <v>0.4</v>
      </c>
      <c r="AB4" s="74"/>
      <c r="AC4" s="74"/>
      <c r="AD4" s="74"/>
      <c r="AE4" s="74"/>
      <c r="AF4" s="74"/>
      <c r="AG4" s="74" t="s">
        <v>8</v>
      </c>
      <c r="AH4" s="73">
        <f>'Womens Data'!I5</f>
        <v>2</v>
      </c>
      <c r="AI4" s="76">
        <f>'Womens Data'!AF5</f>
        <v>-0.7142857142857143</v>
      </c>
      <c r="AJ4" s="74"/>
      <c r="AK4" s="74"/>
      <c r="AL4" s="74"/>
      <c r="AM4" s="74"/>
      <c r="AN4" s="74"/>
      <c r="AO4" s="74" t="s">
        <v>8</v>
      </c>
      <c r="AP4" s="73">
        <f>'Womens Data'!J5</f>
        <v>5</v>
      </c>
      <c r="AQ4" s="76">
        <f>'Womens Data'!AG5</f>
        <v>1.5</v>
      </c>
      <c r="AR4" s="74"/>
      <c r="AS4" s="74"/>
      <c r="AT4" s="74"/>
      <c r="AU4" s="74"/>
      <c r="AV4" s="74"/>
      <c r="AW4" s="74" t="s">
        <v>8</v>
      </c>
      <c r="AX4" s="73">
        <f>'Womens Data'!K5</f>
        <v>3</v>
      </c>
      <c r="AY4" s="76">
        <f>'Womens Data'!AH5</f>
        <v>-0.4</v>
      </c>
      <c r="AZ4" s="74"/>
      <c r="BA4" s="74"/>
      <c r="BB4" s="74"/>
      <c r="BC4" s="74"/>
      <c r="BD4" s="74"/>
      <c r="BE4" s="74"/>
      <c r="BF4" s="74" t="s">
        <v>8</v>
      </c>
      <c r="BG4" s="73">
        <f>'Womens Data'!L5</f>
        <v>6</v>
      </c>
      <c r="BH4" s="76">
        <f>'Womens Data'!AI5</f>
        <v>1</v>
      </c>
      <c r="BI4" s="74"/>
      <c r="BJ4" s="74"/>
      <c r="BK4" s="74"/>
      <c r="BL4" s="74"/>
      <c r="BM4" s="74"/>
      <c r="BN4" s="74" t="s">
        <v>8</v>
      </c>
      <c r="BO4" s="73">
        <f>'Womens Data'!M5</f>
        <v>7</v>
      </c>
      <c r="BP4" s="76">
        <f>'Womens Data'!AJ5</f>
        <v>0.16666666666666666</v>
      </c>
      <c r="BQ4" s="74"/>
      <c r="BR4" s="74"/>
      <c r="BS4" s="74"/>
      <c r="BT4" s="74"/>
      <c r="BU4" s="74" t="s">
        <v>8</v>
      </c>
      <c r="BV4" s="73">
        <f>'Womens Data'!N5</f>
        <v>8</v>
      </c>
      <c r="BW4" s="76">
        <f>'Womens Data'!AK5</f>
        <v>0.14285714285714285</v>
      </c>
      <c r="BX4" s="74"/>
      <c r="BY4" s="74"/>
      <c r="BZ4" s="74"/>
      <c r="CA4" s="74"/>
      <c r="CB4" s="74"/>
      <c r="CC4" s="74" t="s">
        <v>8</v>
      </c>
      <c r="CD4" s="73">
        <f>'Womens Data'!O5</f>
        <v>9</v>
      </c>
      <c r="CE4" s="76">
        <f>'Womens Data'!AL5</f>
        <v>0.125</v>
      </c>
      <c r="CF4" s="74"/>
      <c r="CG4" s="74"/>
      <c r="CH4" s="74"/>
      <c r="CI4" s="74"/>
      <c r="CJ4" s="74"/>
      <c r="CK4" s="74" t="s">
        <v>8</v>
      </c>
      <c r="CL4" s="73">
        <f>'Womens Data'!P5</f>
        <v>8</v>
      </c>
      <c r="CM4" s="76">
        <f>'Womens Data'!AM5</f>
        <v>-0.1111111111111111</v>
      </c>
      <c r="CN4" s="74"/>
      <c r="CO4" s="74"/>
      <c r="CP4" s="74"/>
      <c r="CQ4" s="74"/>
      <c r="CR4" s="74"/>
      <c r="CS4" s="74" t="s">
        <v>8</v>
      </c>
      <c r="CT4" s="73">
        <f>'Womens Data'!Q5</f>
        <v>4</v>
      </c>
      <c r="CU4" s="76">
        <f>'Womens Data'!AN5</f>
        <v>-0.5</v>
      </c>
      <c r="CV4" s="74"/>
    </row>
    <row r="5" spans="1:100">
      <c r="A5" s="74"/>
      <c r="B5" s="74" t="s">
        <v>9</v>
      </c>
      <c r="C5" s="73">
        <f>'Womens Data'!E6</f>
        <v>4</v>
      </c>
      <c r="D5" s="76">
        <f>'Womens Data'!AB6</f>
        <v>0.33333333333333331</v>
      </c>
      <c r="E5" s="76"/>
      <c r="F5" s="74"/>
      <c r="G5" s="74"/>
      <c r="H5" s="74"/>
      <c r="I5" s="74"/>
      <c r="J5" s="74" t="s">
        <v>9</v>
      </c>
      <c r="K5" s="73">
        <f>'Womens Data'!F6</f>
        <v>12</v>
      </c>
      <c r="L5" s="76">
        <f>'Womens Data'!AC6</f>
        <v>2</v>
      </c>
      <c r="M5" s="74"/>
      <c r="N5" s="74"/>
      <c r="O5" s="74"/>
      <c r="P5" s="74"/>
      <c r="Q5" s="74" t="s">
        <v>9</v>
      </c>
      <c r="R5" s="73">
        <f>'Womens Data'!G6</f>
        <v>5</v>
      </c>
      <c r="S5" s="76">
        <f>'Womens Data'!AD6</f>
        <v>-0.58333333333333337</v>
      </c>
      <c r="T5" s="74"/>
      <c r="U5" s="74"/>
      <c r="V5" s="74"/>
      <c r="W5" s="74"/>
      <c r="X5" s="74"/>
      <c r="Y5" s="74" t="s">
        <v>9</v>
      </c>
      <c r="Z5" s="73">
        <f>'Womens Data'!H6</f>
        <v>7</v>
      </c>
      <c r="AA5" s="76">
        <f>'Womens Data'!AE6</f>
        <v>0.4</v>
      </c>
      <c r="AB5" s="74"/>
      <c r="AC5" s="74"/>
      <c r="AD5" s="74"/>
      <c r="AE5" s="74"/>
      <c r="AF5" s="74"/>
      <c r="AG5" s="74" t="s">
        <v>9</v>
      </c>
      <c r="AH5" s="73">
        <f>'Womens Data'!I6</f>
        <v>2</v>
      </c>
      <c r="AI5" s="76">
        <f>'Womens Data'!AF6</f>
        <v>-0.7142857142857143</v>
      </c>
      <c r="AJ5" s="74"/>
      <c r="AK5" s="74"/>
      <c r="AL5" s="74"/>
      <c r="AM5" s="74"/>
      <c r="AN5" s="74"/>
      <c r="AO5" s="74" t="s">
        <v>9</v>
      </c>
      <c r="AP5" s="73">
        <f>'Womens Data'!J6</f>
        <v>5</v>
      </c>
      <c r="AQ5" s="76">
        <f>'Womens Data'!AG6</f>
        <v>1.5</v>
      </c>
      <c r="AR5" s="74"/>
      <c r="AS5" s="74"/>
      <c r="AT5" s="74"/>
      <c r="AU5" s="74"/>
      <c r="AV5" s="74"/>
      <c r="AW5" s="74" t="s">
        <v>9</v>
      </c>
      <c r="AX5" s="73">
        <f>'Womens Data'!K6</f>
        <v>3</v>
      </c>
      <c r="AY5" s="76">
        <f>'Womens Data'!AH6</f>
        <v>-0.4</v>
      </c>
      <c r="AZ5" s="74"/>
      <c r="BA5" s="74"/>
      <c r="BB5" s="74"/>
      <c r="BC5" s="74"/>
      <c r="BD5" s="74"/>
      <c r="BE5" s="74"/>
      <c r="BF5" s="74" t="s">
        <v>9</v>
      </c>
      <c r="BG5" s="73">
        <f>'Womens Data'!L6</f>
        <v>6</v>
      </c>
      <c r="BH5" s="76">
        <f>'Womens Data'!AI6</f>
        <v>1</v>
      </c>
      <c r="BI5" s="76"/>
      <c r="BJ5" s="74"/>
      <c r="BK5" s="74"/>
      <c r="BL5" s="74"/>
      <c r="BM5" s="74"/>
      <c r="BN5" s="74" t="s">
        <v>9</v>
      </c>
      <c r="BO5" s="73">
        <f>'Womens Data'!M6</f>
        <v>7</v>
      </c>
      <c r="BP5" s="76">
        <f>'Womens Data'!AJ6</f>
        <v>0.16666666666666666</v>
      </c>
      <c r="BQ5" s="74"/>
      <c r="BR5" s="74"/>
      <c r="BS5" s="74"/>
      <c r="BT5" s="74"/>
      <c r="BU5" s="74" t="s">
        <v>9</v>
      </c>
      <c r="BV5" s="73">
        <f>'Womens Data'!N6</f>
        <v>8</v>
      </c>
      <c r="BW5" s="76">
        <f>'Womens Data'!AK6</f>
        <v>0.14285714285714285</v>
      </c>
      <c r="BX5" s="74"/>
      <c r="BY5" s="74"/>
      <c r="BZ5" s="74"/>
      <c r="CA5" s="74"/>
      <c r="CB5" s="74"/>
      <c r="CC5" s="74" t="s">
        <v>9</v>
      </c>
      <c r="CD5" s="73">
        <f>'Womens Data'!O6</f>
        <v>9</v>
      </c>
      <c r="CE5" s="76">
        <f>'Womens Data'!AL6</f>
        <v>0.125</v>
      </c>
      <c r="CF5" s="74"/>
      <c r="CG5" s="74"/>
      <c r="CH5" s="74"/>
      <c r="CI5" s="74"/>
      <c r="CJ5" s="74"/>
      <c r="CK5" s="74" t="s">
        <v>9</v>
      </c>
      <c r="CL5" s="73">
        <f>'Womens Data'!P6</f>
        <v>8</v>
      </c>
      <c r="CM5" s="76">
        <f>'Womens Data'!AM6</f>
        <v>-0.1111111111111111</v>
      </c>
      <c r="CN5" s="74"/>
      <c r="CO5" s="74"/>
      <c r="CP5" s="74"/>
      <c r="CQ5" s="74"/>
      <c r="CR5" s="74"/>
      <c r="CS5" s="74" t="s">
        <v>9</v>
      </c>
      <c r="CT5" s="73">
        <f>'Womens Data'!Q6</f>
        <v>4</v>
      </c>
      <c r="CU5" s="76">
        <f>'Womens Data'!AN6</f>
        <v>-0.5</v>
      </c>
      <c r="CV5" s="74"/>
    </row>
    <row r="6" spans="1:100">
      <c r="A6" s="74"/>
      <c r="B6" s="74" t="s">
        <v>10</v>
      </c>
      <c r="C6" s="76">
        <f>'Womens Data'!E7</f>
        <v>4</v>
      </c>
      <c r="D6" s="76">
        <f>'Womens Data'!AB7</f>
        <v>0.33333333333333331</v>
      </c>
      <c r="E6" s="76"/>
      <c r="F6" s="74"/>
      <c r="G6" s="74"/>
      <c r="H6" s="74"/>
      <c r="I6" s="74"/>
      <c r="J6" s="74" t="s">
        <v>10</v>
      </c>
      <c r="K6" s="76">
        <f>'Womens Data'!F7</f>
        <v>12</v>
      </c>
      <c r="L6" s="76">
        <f>'Womens Data'!AC7</f>
        <v>2</v>
      </c>
      <c r="M6" s="74"/>
      <c r="N6" s="74"/>
      <c r="O6" s="74"/>
      <c r="P6" s="74"/>
      <c r="Q6" s="74" t="s">
        <v>10</v>
      </c>
      <c r="R6" s="76">
        <f>'Womens Data'!G7</f>
        <v>5</v>
      </c>
      <c r="S6" s="76">
        <f>'Womens Data'!AD7</f>
        <v>-0.58333333333333337</v>
      </c>
      <c r="T6" s="74"/>
      <c r="U6" s="74"/>
      <c r="V6" s="74"/>
      <c r="W6" s="74"/>
      <c r="X6" s="74"/>
      <c r="Y6" s="74" t="s">
        <v>10</v>
      </c>
      <c r="Z6" s="76">
        <f>'Womens Data'!H7</f>
        <v>7</v>
      </c>
      <c r="AA6" s="76">
        <f>'Womens Data'!AE7</f>
        <v>0.4</v>
      </c>
      <c r="AB6" s="74"/>
      <c r="AC6" s="74"/>
      <c r="AD6" s="74"/>
      <c r="AE6" s="74"/>
      <c r="AF6" s="74"/>
      <c r="AG6" s="74" t="s">
        <v>10</v>
      </c>
      <c r="AH6" s="76">
        <f>'Womens Data'!I7</f>
        <v>2</v>
      </c>
      <c r="AI6" s="76">
        <f>'Womens Data'!AF7</f>
        <v>-0.7142857142857143</v>
      </c>
      <c r="AJ6" s="74"/>
      <c r="AK6" s="74"/>
      <c r="AL6" s="74"/>
      <c r="AM6" s="74"/>
      <c r="AN6" s="74"/>
      <c r="AO6" s="74" t="s">
        <v>10</v>
      </c>
      <c r="AP6" s="76">
        <f>'Womens Data'!J7</f>
        <v>5</v>
      </c>
      <c r="AQ6" s="76">
        <f>'Womens Data'!AG7</f>
        <v>1.5</v>
      </c>
      <c r="AR6" s="74"/>
      <c r="AS6" s="74"/>
      <c r="AT6" s="74"/>
      <c r="AU6" s="74"/>
      <c r="AV6" s="74"/>
      <c r="AW6" s="74" t="s">
        <v>10</v>
      </c>
      <c r="AX6" s="76">
        <f>'Womens Data'!K7</f>
        <v>3</v>
      </c>
      <c r="AY6" s="76">
        <f>'Womens Data'!AH7</f>
        <v>-0.4</v>
      </c>
      <c r="AZ6" s="74"/>
      <c r="BA6" s="74"/>
      <c r="BB6" s="74"/>
      <c r="BC6" s="74"/>
      <c r="BD6" s="74"/>
      <c r="BE6" s="74"/>
      <c r="BF6" s="74" t="s">
        <v>10</v>
      </c>
      <c r="BG6" s="73">
        <f>'Womens Data'!L7</f>
        <v>6</v>
      </c>
      <c r="BH6" s="76">
        <f>'Womens Data'!AI7</f>
        <v>1</v>
      </c>
      <c r="BI6" s="76"/>
      <c r="BJ6" s="74"/>
      <c r="BK6" s="74"/>
      <c r="BL6" s="74"/>
      <c r="BM6" s="74"/>
      <c r="BN6" s="74" t="s">
        <v>10</v>
      </c>
      <c r="BO6" s="73">
        <f>'Womens Data'!M7</f>
        <v>7</v>
      </c>
      <c r="BP6" s="76">
        <f>'Womens Data'!AJ7</f>
        <v>0.16666666666666666</v>
      </c>
      <c r="BQ6" s="74"/>
      <c r="BR6" s="74"/>
      <c r="BS6" s="74"/>
      <c r="BT6" s="74"/>
      <c r="BU6" s="74" t="s">
        <v>10</v>
      </c>
      <c r="BV6" s="73">
        <f>'Womens Data'!N7</f>
        <v>8</v>
      </c>
      <c r="BW6" s="76">
        <f>'Womens Data'!AK7</f>
        <v>0.14285714285714285</v>
      </c>
      <c r="BX6" s="74"/>
      <c r="BY6" s="74"/>
      <c r="BZ6" s="74"/>
      <c r="CA6" s="74"/>
      <c r="CB6" s="74"/>
      <c r="CC6" s="74" t="s">
        <v>10</v>
      </c>
      <c r="CD6" s="73">
        <f>'Womens Data'!O7</f>
        <v>9</v>
      </c>
      <c r="CE6" s="76">
        <f>'Womens Data'!AL7</f>
        <v>0.125</v>
      </c>
      <c r="CF6" s="74"/>
      <c r="CG6" s="74"/>
      <c r="CH6" s="74"/>
      <c r="CI6" s="74"/>
      <c r="CJ6" s="74"/>
      <c r="CK6" s="74" t="s">
        <v>10</v>
      </c>
      <c r="CL6" s="73">
        <f>'Womens Data'!P7</f>
        <v>8</v>
      </c>
      <c r="CM6" s="76">
        <f>'Womens Data'!AM7</f>
        <v>-0.1111111111111111</v>
      </c>
      <c r="CN6" s="74"/>
      <c r="CO6" s="74"/>
      <c r="CP6" s="74"/>
      <c r="CQ6" s="74"/>
      <c r="CR6" s="74"/>
      <c r="CS6" s="74" t="s">
        <v>10</v>
      </c>
      <c r="CT6" s="73">
        <f>'Womens Data'!Q7</f>
        <v>4</v>
      </c>
      <c r="CU6" s="76">
        <f>'Womens Data'!AN7</f>
        <v>-0.5</v>
      </c>
      <c r="CV6" s="74"/>
    </row>
    <row r="7" spans="1:100">
      <c r="A7" s="74"/>
      <c r="B7" s="74" t="s">
        <v>11</v>
      </c>
      <c r="C7" s="73">
        <f>'Womens Data'!E8</f>
        <v>4</v>
      </c>
      <c r="D7" s="77">
        <f>'Womens Data'!AB8</f>
        <v>0.33333333333333331</v>
      </c>
      <c r="E7" s="77"/>
      <c r="F7" s="74"/>
      <c r="G7" s="74"/>
      <c r="H7" s="74"/>
      <c r="I7" s="74"/>
      <c r="J7" s="74" t="s">
        <v>11</v>
      </c>
      <c r="K7" s="73">
        <f>'Womens Data'!F8</f>
        <v>12</v>
      </c>
      <c r="L7" s="77">
        <f>'Womens Data'!AC8</f>
        <v>2</v>
      </c>
      <c r="M7" s="74"/>
      <c r="N7" s="74"/>
      <c r="O7" s="74"/>
      <c r="P7" s="74"/>
      <c r="Q7" s="74" t="s">
        <v>11</v>
      </c>
      <c r="R7" s="73">
        <f>'Womens Data'!G8</f>
        <v>5</v>
      </c>
      <c r="S7" s="77">
        <f>'Womens Data'!AD8</f>
        <v>-0.58333333333333337</v>
      </c>
      <c r="T7" s="74"/>
      <c r="U7" s="74"/>
      <c r="V7" s="74"/>
      <c r="W7" s="74"/>
      <c r="X7" s="74"/>
      <c r="Y7" s="74" t="s">
        <v>11</v>
      </c>
      <c r="Z7" s="73">
        <f>'Womens Data'!H8</f>
        <v>7</v>
      </c>
      <c r="AA7" s="77">
        <f>'Womens Data'!AE8</f>
        <v>0.4</v>
      </c>
      <c r="AB7" s="74"/>
      <c r="AC7" s="74"/>
      <c r="AD7" s="74"/>
      <c r="AE7" s="74"/>
      <c r="AF7" s="74"/>
      <c r="AG7" s="74" t="s">
        <v>11</v>
      </c>
      <c r="AH7" s="73">
        <f>'Womens Data'!I8</f>
        <v>2</v>
      </c>
      <c r="AI7" s="77">
        <f>'Womens Data'!AF8</f>
        <v>-0.7142857142857143</v>
      </c>
      <c r="AJ7" s="74"/>
      <c r="AK7" s="74"/>
      <c r="AL7" s="74"/>
      <c r="AM7" s="74"/>
      <c r="AN7" s="74"/>
      <c r="AO7" s="74" t="s">
        <v>11</v>
      </c>
      <c r="AP7" s="73">
        <f>'Womens Data'!J8</f>
        <v>5</v>
      </c>
      <c r="AQ7" s="77">
        <f>'Womens Data'!AG8</f>
        <v>1.5</v>
      </c>
      <c r="AR7" s="74"/>
      <c r="AS7" s="74"/>
      <c r="AT7" s="74"/>
      <c r="AU7" s="74"/>
      <c r="AV7" s="74"/>
      <c r="AW7" s="74" t="s">
        <v>11</v>
      </c>
      <c r="AX7" s="73">
        <f>'Womens Data'!K8</f>
        <v>3</v>
      </c>
      <c r="AY7" s="77">
        <f>'Womens Data'!AH8</f>
        <v>-0.4</v>
      </c>
      <c r="AZ7" s="74"/>
      <c r="BA7" s="74"/>
      <c r="BB7" s="74"/>
      <c r="BC7" s="74"/>
      <c r="BD7" s="74"/>
      <c r="BE7" s="74"/>
      <c r="BF7" s="74" t="s">
        <v>11</v>
      </c>
      <c r="BG7" s="73">
        <f>'Womens Data'!L8</f>
        <v>6</v>
      </c>
      <c r="BH7" s="76">
        <f>'Womens Data'!AI8</f>
        <v>1</v>
      </c>
      <c r="BI7" s="77"/>
      <c r="BJ7" s="74"/>
      <c r="BK7" s="74"/>
      <c r="BL7" s="74"/>
      <c r="BM7" s="74"/>
      <c r="BN7" s="74" t="s">
        <v>11</v>
      </c>
      <c r="BO7" s="73">
        <f>'Womens Data'!M8</f>
        <v>7</v>
      </c>
      <c r="BP7" s="76">
        <f>'Womens Data'!AJ8</f>
        <v>0.16666666666666666</v>
      </c>
      <c r="BQ7" s="74"/>
      <c r="BR7" s="74"/>
      <c r="BS7" s="74"/>
      <c r="BT7" s="74"/>
      <c r="BU7" s="74" t="s">
        <v>11</v>
      </c>
      <c r="BV7" s="73">
        <f>'Womens Data'!N8</f>
        <v>8</v>
      </c>
      <c r="BW7" s="76">
        <f>'Womens Data'!AK8</f>
        <v>0.14285714285714285</v>
      </c>
      <c r="BX7" s="74"/>
      <c r="BY7" s="74"/>
      <c r="BZ7" s="74"/>
      <c r="CA7" s="74"/>
      <c r="CB7" s="74"/>
      <c r="CC7" s="74" t="s">
        <v>11</v>
      </c>
      <c r="CD7" s="73">
        <f>'Womens Data'!O8</f>
        <v>9</v>
      </c>
      <c r="CE7" s="76">
        <f>'Womens Data'!AL8</f>
        <v>0.125</v>
      </c>
      <c r="CF7" s="74"/>
      <c r="CG7" s="74"/>
      <c r="CH7" s="74"/>
      <c r="CI7" s="74"/>
      <c r="CJ7" s="74"/>
      <c r="CK7" s="74" t="s">
        <v>11</v>
      </c>
      <c r="CL7" s="73">
        <f>'Womens Data'!P8</f>
        <v>8</v>
      </c>
      <c r="CM7" s="76">
        <f>'Womens Data'!AM8</f>
        <v>-0.1111111111111111</v>
      </c>
      <c r="CN7" s="74"/>
      <c r="CO7" s="74"/>
      <c r="CP7" s="74"/>
      <c r="CQ7" s="74"/>
      <c r="CR7" s="74"/>
      <c r="CS7" s="74" t="s">
        <v>11</v>
      </c>
      <c r="CT7" s="73">
        <f>'Womens Data'!Q8</f>
        <v>4</v>
      </c>
      <c r="CU7" s="76">
        <f>'Womens Data'!AN8</f>
        <v>-0.5</v>
      </c>
      <c r="CV7" s="74"/>
    </row>
    <row r="8" spans="1:100">
      <c r="A8" s="74"/>
      <c r="B8" s="74" t="s">
        <v>12</v>
      </c>
      <c r="C8" s="73">
        <f>'Womens Data'!E9</f>
        <v>4</v>
      </c>
      <c r="D8" s="77">
        <f>'Womens Data'!AB9</f>
        <v>0.33333333333333331</v>
      </c>
      <c r="E8" s="77"/>
      <c r="F8" s="74"/>
      <c r="G8" s="74"/>
      <c r="H8" s="74"/>
      <c r="I8" s="74"/>
      <c r="J8" s="74" t="s">
        <v>12</v>
      </c>
      <c r="K8" s="73">
        <f>'Womens Data'!F9</f>
        <v>12</v>
      </c>
      <c r="L8" s="77">
        <f>'Womens Data'!AC9</f>
        <v>2</v>
      </c>
      <c r="M8" s="74"/>
      <c r="N8" s="74"/>
      <c r="O8" s="74"/>
      <c r="P8" s="74"/>
      <c r="Q8" s="74" t="s">
        <v>12</v>
      </c>
      <c r="R8" s="73">
        <f>'Womens Data'!G9</f>
        <v>5</v>
      </c>
      <c r="S8" s="77">
        <f>'Womens Data'!AD9</f>
        <v>-0.58333333333333337</v>
      </c>
      <c r="T8" s="74"/>
      <c r="U8" s="74"/>
      <c r="V8" s="74"/>
      <c r="W8" s="74"/>
      <c r="X8" s="74"/>
      <c r="Y8" s="74" t="s">
        <v>12</v>
      </c>
      <c r="Z8" s="73">
        <f>'Womens Data'!H9</f>
        <v>7</v>
      </c>
      <c r="AA8" s="77">
        <f>'Womens Data'!AE9</f>
        <v>0.4</v>
      </c>
      <c r="AB8" s="74"/>
      <c r="AC8" s="74"/>
      <c r="AD8" s="74"/>
      <c r="AE8" s="74"/>
      <c r="AF8" s="74"/>
      <c r="AG8" s="74" t="s">
        <v>12</v>
      </c>
      <c r="AH8" s="73">
        <f>'Womens Data'!I9</f>
        <v>2</v>
      </c>
      <c r="AI8" s="77">
        <f>'Womens Data'!AF9</f>
        <v>-0.7142857142857143</v>
      </c>
      <c r="AJ8" s="74"/>
      <c r="AK8" s="74"/>
      <c r="AL8" s="74"/>
      <c r="AM8" s="74"/>
      <c r="AN8" s="74"/>
      <c r="AO8" s="74" t="s">
        <v>12</v>
      </c>
      <c r="AP8" s="73">
        <f>'Womens Data'!J9</f>
        <v>5</v>
      </c>
      <c r="AQ8" s="77">
        <f>'Womens Data'!AG9</f>
        <v>1.5</v>
      </c>
      <c r="AR8" s="74"/>
      <c r="AS8" s="74"/>
      <c r="AT8" s="74"/>
      <c r="AU8" s="74"/>
      <c r="AV8" s="74"/>
      <c r="AW8" s="74" t="s">
        <v>12</v>
      </c>
      <c r="AX8" s="73">
        <f>'Womens Data'!K9</f>
        <v>3</v>
      </c>
      <c r="AY8" s="77">
        <f>'Womens Data'!AH9</f>
        <v>-0.4</v>
      </c>
      <c r="AZ8" s="74"/>
      <c r="BA8" s="74"/>
      <c r="BB8" s="74"/>
      <c r="BC8" s="74"/>
      <c r="BD8" s="74"/>
      <c r="BE8" s="74"/>
      <c r="BF8" s="74" t="s">
        <v>12</v>
      </c>
      <c r="BG8" s="73">
        <f>'Womens Data'!L9</f>
        <v>6</v>
      </c>
      <c r="BH8" s="76">
        <f>'Womens Data'!AI9</f>
        <v>1</v>
      </c>
      <c r="BI8" s="77"/>
      <c r="BJ8" s="74"/>
      <c r="BK8" s="74"/>
      <c r="BL8" s="74"/>
      <c r="BM8" s="74"/>
      <c r="BN8" s="74" t="s">
        <v>12</v>
      </c>
      <c r="BO8" s="73">
        <f>'Womens Data'!M9</f>
        <v>7</v>
      </c>
      <c r="BP8" s="76">
        <f>'Womens Data'!AJ9</f>
        <v>0.16666666666666666</v>
      </c>
      <c r="BQ8" s="74"/>
      <c r="BR8" s="74"/>
      <c r="BS8" s="74"/>
      <c r="BT8" s="74"/>
      <c r="BU8" s="74" t="s">
        <v>12</v>
      </c>
      <c r="BV8" s="73">
        <f>'Womens Data'!N9</f>
        <v>8</v>
      </c>
      <c r="BW8" s="76">
        <f>'Womens Data'!AK9</f>
        <v>0.14285714285714285</v>
      </c>
      <c r="BX8" s="74"/>
      <c r="BY8" s="74"/>
      <c r="BZ8" s="74"/>
      <c r="CA8" s="74"/>
      <c r="CB8" s="74"/>
      <c r="CC8" s="74" t="s">
        <v>12</v>
      </c>
      <c r="CD8" s="73">
        <f>'Womens Data'!O9</f>
        <v>9</v>
      </c>
      <c r="CE8" s="76">
        <f>'Womens Data'!AL9</f>
        <v>0.125</v>
      </c>
      <c r="CF8" s="74"/>
      <c r="CG8" s="74"/>
      <c r="CH8" s="74"/>
      <c r="CI8" s="74"/>
      <c r="CJ8" s="74"/>
      <c r="CK8" s="74" t="s">
        <v>12</v>
      </c>
      <c r="CL8" s="73">
        <f>'Womens Data'!P9</f>
        <v>8</v>
      </c>
      <c r="CM8" s="76">
        <f>'Womens Data'!AM9</f>
        <v>-0.1111111111111111</v>
      </c>
      <c r="CN8" s="74"/>
      <c r="CO8" s="74"/>
      <c r="CP8" s="74"/>
      <c r="CQ8" s="74"/>
      <c r="CR8" s="74"/>
      <c r="CS8" s="74" t="s">
        <v>12</v>
      </c>
      <c r="CT8" s="73">
        <f>'Womens Data'!Q9</f>
        <v>4</v>
      </c>
      <c r="CU8" s="76">
        <f>'Womens Data'!AN9</f>
        <v>-0.5</v>
      </c>
      <c r="CV8" s="74"/>
    </row>
    <row r="9" spans="1:100">
      <c r="A9" s="74"/>
      <c r="B9" s="74" t="s">
        <v>13</v>
      </c>
      <c r="C9" s="73">
        <f>'Womens Data'!E10</f>
        <v>4</v>
      </c>
      <c r="D9" s="77">
        <f>'Womens Data'!AB10</f>
        <v>0.33333333333333331</v>
      </c>
      <c r="E9" s="77"/>
      <c r="F9" s="74"/>
      <c r="G9" s="74"/>
      <c r="H9" s="74"/>
      <c r="I9" s="74"/>
      <c r="J9" s="74" t="s">
        <v>13</v>
      </c>
      <c r="K9" s="73">
        <f>'Womens Data'!F10</f>
        <v>12</v>
      </c>
      <c r="L9" s="77">
        <f>'Womens Data'!AC10</f>
        <v>2</v>
      </c>
      <c r="M9" s="74"/>
      <c r="N9" s="74"/>
      <c r="O9" s="74"/>
      <c r="P9" s="74"/>
      <c r="Q9" s="74" t="s">
        <v>13</v>
      </c>
      <c r="R9" s="73">
        <f>'Womens Data'!G10</f>
        <v>5</v>
      </c>
      <c r="S9" s="77">
        <f>'Womens Data'!AD10</f>
        <v>-0.58333333333333337</v>
      </c>
      <c r="T9" s="74"/>
      <c r="U9" s="74"/>
      <c r="V9" s="74"/>
      <c r="W9" s="74"/>
      <c r="X9" s="74"/>
      <c r="Y9" s="74" t="s">
        <v>13</v>
      </c>
      <c r="Z9" s="73">
        <f>'Womens Data'!H10</f>
        <v>7</v>
      </c>
      <c r="AA9" s="77">
        <f>'Womens Data'!AE10</f>
        <v>0.4</v>
      </c>
      <c r="AB9" s="74"/>
      <c r="AC9" s="74"/>
      <c r="AD9" s="74"/>
      <c r="AE9" s="74"/>
      <c r="AF9" s="74"/>
      <c r="AG9" s="74" t="s">
        <v>13</v>
      </c>
      <c r="AH9" s="73">
        <f>'Womens Data'!I10</f>
        <v>2</v>
      </c>
      <c r="AI9" s="77">
        <f>'Womens Data'!AF10</f>
        <v>-0.7142857142857143</v>
      </c>
      <c r="AJ9" s="74"/>
      <c r="AK9" s="74"/>
      <c r="AL9" s="74"/>
      <c r="AM9" s="74"/>
      <c r="AN9" s="74"/>
      <c r="AO9" s="74" t="s">
        <v>13</v>
      </c>
      <c r="AP9" s="73">
        <f>'Womens Data'!J10</f>
        <v>5</v>
      </c>
      <c r="AQ9" s="77">
        <f>'Womens Data'!AG10</f>
        <v>1.5</v>
      </c>
      <c r="AR9" s="74"/>
      <c r="AS9" s="74"/>
      <c r="AT9" s="74"/>
      <c r="AU9" s="74"/>
      <c r="AV9" s="74"/>
      <c r="AW9" s="74" t="s">
        <v>13</v>
      </c>
      <c r="AX9" s="73">
        <f>'Womens Data'!K10</f>
        <v>3</v>
      </c>
      <c r="AY9" s="77">
        <f>'Womens Data'!AH10</f>
        <v>-0.4</v>
      </c>
      <c r="AZ9" s="74"/>
      <c r="BA9" s="74"/>
      <c r="BB9" s="74"/>
      <c r="BC9" s="74"/>
      <c r="BD9" s="74"/>
      <c r="BE9" s="74"/>
      <c r="BF9" s="74" t="s">
        <v>13</v>
      </c>
      <c r="BG9" s="73">
        <f>'Womens Data'!L10</f>
        <v>6</v>
      </c>
      <c r="BH9" s="76">
        <f>'Womens Data'!AI10</f>
        <v>1</v>
      </c>
      <c r="BI9" s="77"/>
      <c r="BJ9" s="74"/>
      <c r="BK9" s="74"/>
      <c r="BL9" s="74"/>
      <c r="BM9" s="74"/>
      <c r="BN9" s="74" t="s">
        <v>13</v>
      </c>
      <c r="BO9" s="73">
        <f>'Womens Data'!M10</f>
        <v>7</v>
      </c>
      <c r="BP9" s="76">
        <f>'Womens Data'!AJ10</f>
        <v>0.16666666666666666</v>
      </c>
      <c r="BQ9" s="74"/>
      <c r="BR9" s="74"/>
      <c r="BS9" s="74"/>
      <c r="BT9" s="74"/>
      <c r="BU9" s="74" t="s">
        <v>13</v>
      </c>
      <c r="BV9" s="73">
        <f>'Womens Data'!N10</f>
        <v>8</v>
      </c>
      <c r="BW9" s="76">
        <f>'Womens Data'!AK10</f>
        <v>0.14285714285714285</v>
      </c>
      <c r="BX9" s="74"/>
      <c r="BY9" s="74"/>
      <c r="BZ9" s="74"/>
      <c r="CA9" s="74"/>
      <c r="CB9" s="74"/>
      <c r="CC9" s="74" t="s">
        <v>13</v>
      </c>
      <c r="CD9" s="73">
        <f>'Womens Data'!O10</f>
        <v>9</v>
      </c>
      <c r="CE9" s="76">
        <f>'Womens Data'!AL10</f>
        <v>0.125</v>
      </c>
      <c r="CF9" s="74"/>
      <c r="CG9" s="74"/>
      <c r="CH9" s="74"/>
      <c r="CI9" s="74"/>
      <c r="CJ9" s="74"/>
      <c r="CK9" s="74" t="s">
        <v>13</v>
      </c>
      <c r="CL9" s="73">
        <f>'Womens Data'!P10</f>
        <v>8</v>
      </c>
      <c r="CM9" s="76">
        <f>'Womens Data'!AM10</f>
        <v>-0.1111111111111111</v>
      </c>
      <c r="CN9" s="74"/>
      <c r="CO9" s="74"/>
      <c r="CP9" s="74"/>
      <c r="CQ9" s="74"/>
      <c r="CR9" s="74"/>
      <c r="CS9" s="74" t="s">
        <v>13</v>
      </c>
      <c r="CT9" s="73">
        <f>'Womens Data'!Q10</f>
        <v>4</v>
      </c>
      <c r="CU9" s="76">
        <f>'Womens Data'!AN10</f>
        <v>-0.5</v>
      </c>
      <c r="CV9" s="74"/>
    </row>
    <row r="10" spans="1:100">
      <c r="A10" s="74"/>
      <c r="B10" s="74" t="s">
        <v>14</v>
      </c>
      <c r="C10" s="73">
        <f>'Womens Data'!E11</f>
        <v>4</v>
      </c>
      <c r="D10" s="77">
        <f>'Womens Data'!AB11</f>
        <v>0.33333333333333331</v>
      </c>
      <c r="E10" s="77"/>
      <c r="F10" s="74"/>
      <c r="G10" s="74"/>
      <c r="H10" s="74"/>
      <c r="I10" s="74"/>
      <c r="J10" s="74" t="s">
        <v>14</v>
      </c>
      <c r="K10" s="73">
        <f>'Womens Data'!F11</f>
        <v>12</v>
      </c>
      <c r="L10" s="77">
        <f>'Womens Data'!AC11</f>
        <v>2</v>
      </c>
      <c r="M10" s="74"/>
      <c r="N10" s="74"/>
      <c r="O10" s="74"/>
      <c r="P10" s="74"/>
      <c r="Q10" s="74" t="s">
        <v>14</v>
      </c>
      <c r="R10" s="73">
        <f>'Womens Data'!G11</f>
        <v>5</v>
      </c>
      <c r="S10" s="77">
        <f>'Womens Data'!AD11</f>
        <v>-0.58333333333333337</v>
      </c>
      <c r="T10" s="74"/>
      <c r="U10" s="74"/>
      <c r="V10" s="74"/>
      <c r="W10" s="74"/>
      <c r="X10" s="74"/>
      <c r="Y10" s="74" t="s">
        <v>14</v>
      </c>
      <c r="Z10" s="73">
        <f>'Womens Data'!H11</f>
        <v>7</v>
      </c>
      <c r="AA10" s="77">
        <f>'Womens Data'!AE11</f>
        <v>0.4</v>
      </c>
      <c r="AB10" s="74"/>
      <c r="AC10" s="74"/>
      <c r="AD10" s="74"/>
      <c r="AE10" s="74"/>
      <c r="AF10" s="74"/>
      <c r="AG10" s="74" t="s">
        <v>14</v>
      </c>
      <c r="AH10" s="73">
        <f>'Womens Data'!I11</f>
        <v>2</v>
      </c>
      <c r="AI10" s="77">
        <f>'Womens Data'!AF11</f>
        <v>-0.7142857142857143</v>
      </c>
      <c r="AJ10" s="74"/>
      <c r="AK10" s="74"/>
      <c r="AL10" s="74"/>
      <c r="AM10" s="74"/>
      <c r="AN10" s="74"/>
      <c r="AO10" s="74" t="s">
        <v>14</v>
      </c>
      <c r="AP10" s="73">
        <f>'Womens Data'!J11</f>
        <v>5</v>
      </c>
      <c r="AQ10" s="77">
        <f>'Womens Data'!AG11</f>
        <v>1.5</v>
      </c>
      <c r="AR10" s="74"/>
      <c r="AS10" s="74"/>
      <c r="AT10" s="74"/>
      <c r="AU10" s="74"/>
      <c r="AV10" s="74"/>
      <c r="AW10" s="74" t="s">
        <v>14</v>
      </c>
      <c r="AX10" s="73">
        <f>'Womens Data'!K11</f>
        <v>3</v>
      </c>
      <c r="AY10" s="77">
        <f>'Womens Data'!AH11</f>
        <v>-0.4</v>
      </c>
      <c r="AZ10" s="74"/>
      <c r="BA10" s="74"/>
      <c r="BB10" s="74"/>
      <c r="BC10" s="74"/>
      <c r="BD10" s="74"/>
      <c r="BE10" s="74"/>
      <c r="BF10" s="74" t="s">
        <v>14</v>
      </c>
      <c r="BG10" s="73">
        <f>'Womens Data'!L11</f>
        <v>6</v>
      </c>
      <c r="BH10" s="76">
        <f>'Womens Data'!AI11</f>
        <v>1</v>
      </c>
      <c r="BI10" s="77"/>
      <c r="BJ10" s="74"/>
      <c r="BK10" s="74"/>
      <c r="BL10" s="74"/>
      <c r="BM10" s="74"/>
      <c r="BN10" s="74" t="s">
        <v>14</v>
      </c>
      <c r="BO10" s="73">
        <f>'Womens Data'!M11</f>
        <v>7</v>
      </c>
      <c r="BP10" s="76">
        <f>'Womens Data'!AJ11</f>
        <v>0.16666666666666666</v>
      </c>
      <c r="BQ10" s="74"/>
      <c r="BR10" s="74"/>
      <c r="BS10" s="74"/>
      <c r="BT10" s="74"/>
      <c r="BU10" s="74" t="s">
        <v>14</v>
      </c>
      <c r="BV10" s="73">
        <f>'Womens Data'!N11</f>
        <v>8</v>
      </c>
      <c r="BW10" s="76">
        <f>'Womens Data'!AK11</f>
        <v>0.14285714285714285</v>
      </c>
      <c r="BX10" s="74"/>
      <c r="BY10" s="74"/>
      <c r="BZ10" s="74"/>
      <c r="CA10" s="74"/>
      <c r="CB10" s="74"/>
      <c r="CC10" s="74" t="s">
        <v>14</v>
      </c>
      <c r="CD10" s="73">
        <f>'Womens Data'!O11</f>
        <v>9</v>
      </c>
      <c r="CE10" s="76">
        <f>'Womens Data'!AL11</f>
        <v>0.125</v>
      </c>
      <c r="CF10" s="74"/>
      <c r="CG10" s="74"/>
      <c r="CH10" s="74"/>
      <c r="CI10" s="74"/>
      <c r="CJ10" s="74"/>
      <c r="CK10" s="74" t="s">
        <v>14</v>
      </c>
      <c r="CL10" s="73">
        <f>'Womens Data'!P11</f>
        <v>8</v>
      </c>
      <c r="CM10" s="76">
        <f>'Womens Data'!AM11</f>
        <v>-0.1111111111111111</v>
      </c>
      <c r="CN10" s="74"/>
      <c r="CO10" s="74"/>
      <c r="CP10" s="74"/>
      <c r="CQ10" s="74"/>
      <c r="CR10" s="74"/>
      <c r="CS10" s="74" t="s">
        <v>14</v>
      </c>
      <c r="CT10" s="73">
        <f>'Womens Data'!Q11</f>
        <v>4</v>
      </c>
      <c r="CU10" s="76">
        <f>'Womens Data'!AN11</f>
        <v>-0.5</v>
      </c>
      <c r="CV10" s="74"/>
    </row>
    <row r="11" spans="1:100">
      <c r="A11" s="74"/>
      <c r="B11" s="74" t="s">
        <v>15</v>
      </c>
      <c r="C11" s="73">
        <f>'Womens Data'!E12</f>
        <v>4</v>
      </c>
      <c r="D11" s="77">
        <f>'Womens Data'!AB12</f>
        <v>0.33333333333333331</v>
      </c>
      <c r="E11" s="77"/>
      <c r="F11" s="74"/>
      <c r="G11" s="74"/>
      <c r="H11" s="74"/>
      <c r="I11" s="74"/>
      <c r="J11" s="74" t="s">
        <v>15</v>
      </c>
      <c r="K11" s="73">
        <f>'Womens Data'!F12</f>
        <v>12</v>
      </c>
      <c r="L11" s="77">
        <f>'Womens Data'!AC12</f>
        <v>2</v>
      </c>
      <c r="M11" s="74"/>
      <c r="N11" s="74"/>
      <c r="O11" s="74"/>
      <c r="P11" s="74"/>
      <c r="Q11" s="74" t="s">
        <v>15</v>
      </c>
      <c r="R11" s="73">
        <f>'Womens Data'!G12</f>
        <v>5</v>
      </c>
      <c r="S11" s="77">
        <f>'Womens Data'!AD12</f>
        <v>-0.58333333333333337</v>
      </c>
      <c r="T11" s="74"/>
      <c r="U11" s="74"/>
      <c r="V11" s="74"/>
      <c r="W11" s="74"/>
      <c r="X11" s="74"/>
      <c r="Y11" s="74" t="s">
        <v>15</v>
      </c>
      <c r="Z11" s="73">
        <f>'Womens Data'!H12</f>
        <v>7</v>
      </c>
      <c r="AA11" s="77">
        <f>'Womens Data'!AE12</f>
        <v>0.4</v>
      </c>
      <c r="AB11" s="74"/>
      <c r="AC11" s="74"/>
      <c r="AD11" s="74"/>
      <c r="AE11" s="74"/>
      <c r="AF11" s="74"/>
      <c r="AG11" s="74" t="s">
        <v>15</v>
      </c>
      <c r="AH11" s="73">
        <f>'Womens Data'!I12</f>
        <v>2</v>
      </c>
      <c r="AI11" s="77">
        <f>'Womens Data'!AF12</f>
        <v>-0.7142857142857143</v>
      </c>
      <c r="AJ11" s="74"/>
      <c r="AK11" s="74"/>
      <c r="AL11" s="74"/>
      <c r="AM11" s="74"/>
      <c r="AN11" s="74"/>
      <c r="AO11" s="74" t="s">
        <v>15</v>
      </c>
      <c r="AP11" s="73">
        <f>'Womens Data'!J12</f>
        <v>5</v>
      </c>
      <c r="AQ11" s="77">
        <f>'Womens Data'!AG12</f>
        <v>1.5</v>
      </c>
      <c r="AR11" s="74"/>
      <c r="AS11" s="74"/>
      <c r="AT11" s="74"/>
      <c r="AU11" s="74"/>
      <c r="AV11" s="74"/>
      <c r="AW11" s="74" t="s">
        <v>15</v>
      </c>
      <c r="AX11" s="73">
        <f>'Womens Data'!K12</f>
        <v>3</v>
      </c>
      <c r="AY11" s="77">
        <f>'Womens Data'!AH12</f>
        <v>-0.4</v>
      </c>
      <c r="AZ11" s="74"/>
      <c r="BA11" s="74"/>
      <c r="BB11" s="74"/>
      <c r="BC11" s="74"/>
      <c r="BD11" s="74"/>
      <c r="BE11" s="74"/>
      <c r="BF11" s="74" t="s">
        <v>15</v>
      </c>
      <c r="BG11" s="73">
        <f>'Womens Data'!L12</f>
        <v>6</v>
      </c>
      <c r="BH11" s="76">
        <f>'Womens Data'!AI12</f>
        <v>1</v>
      </c>
      <c r="BI11" s="77"/>
      <c r="BJ11" s="74"/>
      <c r="BK11" s="74"/>
      <c r="BL11" s="74"/>
      <c r="BM11" s="74"/>
      <c r="BN11" s="74" t="s">
        <v>15</v>
      </c>
      <c r="BO11" s="73">
        <f>'Womens Data'!M12</f>
        <v>7</v>
      </c>
      <c r="BP11" s="76">
        <f>'Womens Data'!AJ12</f>
        <v>0.16666666666666666</v>
      </c>
      <c r="BQ11" s="74"/>
      <c r="BR11" s="74"/>
      <c r="BS11" s="74"/>
      <c r="BT11" s="74"/>
      <c r="BU11" s="74" t="s">
        <v>15</v>
      </c>
      <c r="BV11" s="73">
        <f>'Womens Data'!N12</f>
        <v>8</v>
      </c>
      <c r="BW11" s="76">
        <f>'Womens Data'!AK12</f>
        <v>0.14285714285714285</v>
      </c>
      <c r="BX11" s="74"/>
      <c r="BY11" s="74"/>
      <c r="BZ11" s="74"/>
      <c r="CA11" s="74"/>
      <c r="CB11" s="74"/>
      <c r="CC11" s="74" t="s">
        <v>15</v>
      </c>
      <c r="CD11" s="73">
        <f>'Womens Data'!O12</f>
        <v>9</v>
      </c>
      <c r="CE11" s="76">
        <f>'Womens Data'!AL12</f>
        <v>0.125</v>
      </c>
      <c r="CF11" s="74"/>
      <c r="CG11" s="74"/>
      <c r="CH11" s="74"/>
      <c r="CI11" s="74"/>
      <c r="CJ11" s="74"/>
      <c r="CK11" s="74" t="s">
        <v>15</v>
      </c>
      <c r="CL11" s="73">
        <f>'Womens Data'!P12</f>
        <v>8</v>
      </c>
      <c r="CM11" s="76">
        <f>'Womens Data'!AM12</f>
        <v>-0.1111111111111111</v>
      </c>
      <c r="CN11" s="74"/>
      <c r="CO11" s="74"/>
      <c r="CP11" s="74"/>
      <c r="CQ11" s="74"/>
      <c r="CR11" s="74"/>
      <c r="CS11" s="74" t="s">
        <v>15</v>
      </c>
      <c r="CT11" s="73">
        <f>'Womens Data'!Q12</f>
        <v>4</v>
      </c>
      <c r="CU11" s="76">
        <f>'Womens Data'!AN12</f>
        <v>-0.5</v>
      </c>
      <c r="CV11" s="74"/>
    </row>
    <row r="12" spans="1:100">
      <c r="A12" s="74"/>
      <c r="B12" s="74" t="s">
        <v>16</v>
      </c>
      <c r="C12" s="73">
        <f>'Womens Data'!E13</f>
        <v>4</v>
      </c>
      <c r="D12" s="77">
        <f>'Womens Data'!AB13</f>
        <v>0.33333333333333331</v>
      </c>
      <c r="E12" s="77"/>
      <c r="F12" s="74"/>
      <c r="G12" s="74"/>
      <c r="H12" s="74"/>
      <c r="I12" s="74"/>
      <c r="J12" s="74" t="s">
        <v>16</v>
      </c>
      <c r="K12" s="73">
        <f>'Womens Data'!F13</f>
        <v>12</v>
      </c>
      <c r="L12" s="77">
        <f>'Womens Data'!AC13</f>
        <v>2</v>
      </c>
      <c r="M12" s="74"/>
      <c r="N12" s="74"/>
      <c r="O12" s="74"/>
      <c r="P12" s="74"/>
      <c r="Q12" s="74" t="s">
        <v>16</v>
      </c>
      <c r="R12" s="73">
        <f>'Womens Data'!G13</f>
        <v>5</v>
      </c>
      <c r="S12" s="77">
        <f>'Womens Data'!AD13</f>
        <v>-0.58333333333333337</v>
      </c>
      <c r="T12" s="74"/>
      <c r="U12" s="74"/>
      <c r="V12" s="74"/>
      <c r="W12" s="74"/>
      <c r="X12" s="74"/>
      <c r="Y12" s="74" t="s">
        <v>16</v>
      </c>
      <c r="Z12" s="73">
        <f>'Womens Data'!H13</f>
        <v>7</v>
      </c>
      <c r="AA12" s="77">
        <f>'Womens Data'!AE13</f>
        <v>0.4</v>
      </c>
      <c r="AB12" s="74"/>
      <c r="AC12" s="74"/>
      <c r="AD12" s="74"/>
      <c r="AE12" s="74"/>
      <c r="AF12" s="74"/>
      <c r="AG12" s="74" t="s">
        <v>16</v>
      </c>
      <c r="AH12" s="73">
        <f>'Womens Data'!I13</f>
        <v>2</v>
      </c>
      <c r="AI12" s="77">
        <f>'Womens Data'!AF13</f>
        <v>-0.7142857142857143</v>
      </c>
      <c r="AJ12" s="74"/>
      <c r="AK12" s="74"/>
      <c r="AL12" s="74"/>
      <c r="AM12" s="74"/>
      <c r="AN12" s="74"/>
      <c r="AO12" s="74" t="s">
        <v>16</v>
      </c>
      <c r="AP12" s="73">
        <f>'Womens Data'!J13</f>
        <v>5</v>
      </c>
      <c r="AQ12" s="77">
        <f>'Womens Data'!AG13</f>
        <v>1.5</v>
      </c>
      <c r="AR12" s="74"/>
      <c r="AS12" s="74"/>
      <c r="AT12" s="74"/>
      <c r="AU12" s="74"/>
      <c r="AV12" s="74"/>
      <c r="AW12" s="74" t="s">
        <v>16</v>
      </c>
      <c r="AX12" s="73">
        <f>'Womens Data'!K13</f>
        <v>3</v>
      </c>
      <c r="AY12" s="77">
        <f>'Womens Data'!AH13</f>
        <v>-0.4</v>
      </c>
      <c r="AZ12" s="74"/>
      <c r="BA12" s="74"/>
      <c r="BB12" s="74"/>
      <c r="BC12" s="74"/>
      <c r="BD12" s="74"/>
      <c r="BE12" s="74"/>
      <c r="BF12" s="74" t="s">
        <v>16</v>
      </c>
      <c r="BG12" s="73">
        <f>'Womens Data'!L13</f>
        <v>6</v>
      </c>
      <c r="BH12" s="76">
        <f>'Womens Data'!AI13</f>
        <v>1</v>
      </c>
      <c r="BI12" s="77"/>
      <c r="BJ12" s="74"/>
      <c r="BK12" s="74"/>
      <c r="BL12" s="74"/>
      <c r="BM12" s="74"/>
      <c r="BN12" s="74" t="s">
        <v>16</v>
      </c>
      <c r="BO12" s="73">
        <f>'Womens Data'!M13</f>
        <v>7</v>
      </c>
      <c r="BP12" s="76">
        <f>'Womens Data'!AJ13</f>
        <v>0.16666666666666666</v>
      </c>
      <c r="BQ12" s="74"/>
      <c r="BR12" s="74"/>
      <c r="BS12" s="74"/>
      <c r="BT12" s="74"/>
      <c r="BU12" s="74" t="s">
        <v>16</v>
      </c>
      <c r="BV12" s="73">
        <f>'Womens Data'!N13</f>
        <v>8</v>
      </c>
      <c r="BW12" s="76">
        <f>'Womens Data'!AK13</f>
        <v>0.14285714285714285</v>
      </c>
      <c r="BX12" s="74"/>
      <c r="BY12" s="74"/>
      <c r="BZ12" s="74"/>
      <c r="CA12" s="74"/>
      <c r="CB12" s="74"/>
      <c r="CC12" s="74" t="s">
        <v>16</v>
      </c>
      <c r="CD12" s="73">
        <f>'Womens Data'!O13</f>
        <v>9</v>
      </c>
      <c r="CE12" s="76">
        <f>'Womens Data'!AL13</f>
        <v>0.125</v>
      </c>
      <c r="CF12" s="74"/>
      <c r="CG12" s="74"/>
      <c r="CH12" s="74"/>
      <c r="CI12" s="74"/>
      <c r="CJ12" s="74"/>
      <c r="CK12" s="74" t="s">
        <v>16</v>
      </c>
      <c r="CL12" s="73">
        <f>'Womens Data'!P13</f>
        <v>8</v>
      </c>
      <c r="CM12" s="76">
        <f>'Womens Data'!AM13</f>
        <v>-0.1111111111111111</v>
      </c>
      <c r="CN12" s="74"/>
      <c r="CO12" s="74"/>
      <c r="CP12" s="74"/>
      <c r="CQ12" s="74"/>
      <c r="CR12" s="74"/>
      <c r="CS12" s="74" t="s">
        <v>16</v>
      </c>
      <c r="CT12" s="73">
        <f>'Womens Data'!Q13</f>
        <v>4</v>
      </c>
      <c r="CU12" s="76">
        <f>'Womens Data'!AN13</f>
        <v>-0.5</v>
      </c>
      <c r="CV12" s="74"/>
    </row>
    <row r="13" spans="1:100">
      <c r="A13" s="74"/>
      <c r="B13" s="74" t="s">
        <v>17</v>
      </c>
      <c r="C13" s="73">
        <f>'Womens Data'!E14</f>
        <v>4</v>
      </c>
      <c r="D13" s="77">
        <f>'Womens Data'!AB14</f>
        <v>0.33333333333333331</v>
      </c>
      <c r="E13" s="77"/>
      <c r="F13" s="74"/>
      <c r="G13" s="74"/>
      <c r="H13" s="74"/>
      <c r="I13" s="74"/>
      <c r="J13" s="74" t="s">
        <v>17</v>
      </c>
      <c r="K13" s="73">
        <f>'Womens Data'!F14</f>
        <v>12</v>
      </c>
      <c r="L13" s="77">
        <f>'Womens Data'!AC14</f>
        <v>2</v>
      </c>
      <c r="M13" s="74"/>
      <c r="N13" s="74"/>
      <c r="O13" s="74"/>
      <c r="P13" s="74"/>
      <c r="Q13" s="74" t="s">
        <v>17</v>
      </c>
      <c r="R13" s="73">
        <f>'Womens Data'!G14</f>
        <v>5</v>
      </c>
      <c r="S13" s="77">
        <f>'Womens Data'!AD14</f>
        <v>-0.58333333333333337</v>
      </c>
      <c r="T13" s="74"/>
      <c r="U13" s="74"/>
      <c r="V13" s="74"/>
      <c r="W13" s="74"/>
      <c r="X13" s="74"/>
      <c r="Y13" s="74" t="s">
        <v>17</v>
      </c>
      <c r="Z13" s="73">
        <f>'Womens Data'!H14</f>
        <v>7</v>
      </c>
      <c r="AA13" s="77">
        <f>'Womens Data'!AE14</f>
        <v>0.4</v>
      </c>
      <c r="AB13" s="74"/>
      <c r="AC13" s="74"/>
      <c r="AD13" s="74"/>
      <c r="AE13" s="74"/>
      <c r="AF13" s="74"/>
      <c r="AG13" s="74" t="s">
        <v>17</v>
      </c>
      <c r="AH13" s="73">
        <f>'Womens Data'!I14</f>
        <v>2</v>
      </c>
      <c r="AI13" s="77">
        <f>'Womens Data'!AF14</f>
        <v>-0.7142857142857143</v>
      </c>
      <c r="AJ13" s="74"/>
      <c r="AK13" s="74"/>
      <c r="AL13" s="74"/>
      <c r="AM13" s="74"/>
      <c r="AN13" s="74"/>
      <c r="AO13" s="74" t="s">
        <v>17</v>
      </c>
      <c r="AP13" s="73">
        <f>'Womens Data'!J14</f>
        <v>5</v>
      </c>
      <c r="AQ13" s="77">
        <f>'Womens Data'!AG14</f>
        <v>1.5</v>
      </c>
      <c r="AR13" s="74"/>
      <c r="AS13" s="74"/>
      <c r="AT13" s="74"/>
      <c r="AU13" s="74"/>
      <c r="AV13" s="74"/>
      <c r="AW13" s="74" t="s">
        <v>17</v>
      </c>
      <c r="AX13" s="73">
        <f>'Womens Data'!K14</f>
        <v>3</v>
      </c>
      <c r="AY13" s="77">
        <f>'Womens Data'!AH14</f>
        <v>-0.4</v>
      </c>
      <c r="AZ13" s="74"/>
      <c r="BA13" s="74"/>
      <c r="BB13" s="74"/>
      <c r="BC13" s="74"/>
      <c r="BD13" s="74"/>
      <c r="BE13" s="74"/>
      <c r="BF13" s="74" t="s">
        <v>17</v>
      </c>
      <c r="BG13" s="73">
        <f>'Womens Data'!L14</f>
        <v>6</v>
      </c>
      <c r="BH13" s="76">
        <f>'Womens Data'!AI14</f>
        <v>1</v>
      </c>
      <c r="BI13" s="77"/>
      <c r="BJ13" s="74"/>
      <c r="BK13" s="74"/>
      <c r="BL13" s="74"/>
      <c r="BM13" s="74"/>
      <c r="BN13" s="74" t="s">
        <v>17</v>
      </c>
      <c r="BO13" s="73">
        <f>'Womens Data'!M14</f>
        <v>7</v>
      </c>
      <c r="BP13" s="76">
        <f>'Womens Data'!AJ14</f>
        <v>0.16666666666666666</v>
      </c>
      <c r="BQ13" s="74"/>
      <c r="BR13" s="74"/>
      <c r="BS13" s="74"/>
      <c r="BT13" s="74"/>
      <c r="BU13" s="74" t="s">
        <v>17</v>
      </c>
      <c r="BV13" s="73">
        <f>'Womens Data'!N14</f>
        <v>8</v>
      </c>
      <c r="BW13" s="76">
        <f>'Womens Data'!AK14</f>
        <v>0.14285714285714285</v>
      </c>
      <c r="BX13" s="74"/>
      <c r="BY13" s="74"/>
      <c r="BZ13" s="74"/>
      <c r="CA13" s="74"/>
      <c r="CB13" s="74"/>
      <c r="CC13" s="74" t="s">
        <v>17</v>
      </c>
      <c r="CD13" s="73">
        <f>'Womens Data'!O14</f>
        <v>9</v>
      </c>
      <c r="CE13" s="76">
        <f>'Womens Data'!AL14</f>
        <v>0.125</v>
      </c>
      <c r="CF13" s="74"/>
      <c r="CG13" s="74"/>
      <c r="CH13" s="74"/>
      <c r="CI13" s="74"/>
      <c r="CJ13" s="74"/>
      <c r="CK13" s="74" t="s">
        <v>17</v>
      </c>
      <c r="CL13" s="73">
        <f>'Womens Data'!P14</f>
        <v>8</v>
      </c>
      <c r="CM13" s="76">
        <f>'Womens Data'!AM14</f>
        <v>-0.1111111111111111</v>
      </c>
      <c r="CN13" s="74"/>
      <c r="CO13" s="74"/>
      <c r="CP13" s="74"/>
      <c r="CQ13" s="74"/>
      <c r="CR13" s="74"/>
      <c r="CS13" s="74" t="s">
        <v>17</v>
      </c>
      <c r="CT13" s="73">
        <f>'Womens Data'!Q14</f>
        <v>4</v>
      </c>
      <c r="CU13" s="76">
        <f>'Womens Data'!AN14</f>
        <v>-0.5</v>
      </c>
      <c r="CV13" s="74"/>
    </row>
    <row r="14" spans="1:100">
      <c r="A14" s="74"/>
      <c r="B14" s="74" t="s">
        <v>18</v>
      </c>
      <c r="C14" s="73">
        <f>'Womens Data'!E15</f>
        <v>4</v>
      </c>
      <c r="D14" s="77">
        <f>'Womens Data'!AB15</f>
        <v>0.33333333333333331</v>
      </c>
      <c r="E14" s="77"/>
      <c r="F14" s="74"/>
      <c r="G14" s="74"/>
      <c r="H14" s="74"/>
      <c r="I14" s="74"/>
      <c r="J14" s="74" t="s">
        <v>18</v>
      </c>
      <c r="K14" s="73">
        <f>'Womens Data'!F15</f>
        <v>12</v>
      </c>
      <c r="L14" s="77">
        <f>'Womens Data'!AC15</f>
        <v>2</v>
      </c>
      <c r="M14" s="74"/>
      <c r="N14" s="74"/>
      <c r="O14" s="74"/>
      <c r="P14" s="74"/>
      <c r="Q14" s="74" t="s">
        <v>18</v>
      </c>
      <c r="R14" s="73">
        <f>'Womens Data'!G15</f>
        <v>5</v>
      </c>
      <c r="S14" s="77">
        <f>'Womens Data'!AD15</f>
        <v>-0.58333333333333337</v>
      </c>
      <c r="T14" s="74"/>
      <c r="U14" s="74"/>
      <c r="V14" s="74"/>
      <c r="W14" s="74"/>
      <c r="X14" s="74"/>
      <c r="Y14" s="74" t="s">
        <v>18</v>
      </c>
      <c r="Z14" s="73">
        <f>'Womens Data'!H15</f>
        <v>7</v>
      </c>
      <c r="AA14" s="77">
        <f>'Womens Data'!AE15</f>
        <v>0.4</v>
      </c>
      <c r="AB14" s="74"/>
      <c r="AC14" s="74"/>
      <c r="AD14" s="74"/>
      <c r="AE14" s="74"/>
      <c r="AF14" s="74"/>
      <c r="AG14" s="74" t="s">
        <v>18</v>
      </c>
      <c r="AH14" s="73">
        <f>'Womens Data'!I15</f>
        <v>2</v>
      </c>
      <c r="AI14" s="77">
        <f>'Womens Data'!AF15</f>
        <v>-0.7142857142857143</v>
      </c>
      <c r="AJ14" s="74"/>
      <c r="AK14" s="74"/>
      <c r="AL14" s="74"/>
      <c r="AM14" s="74"/>
      <c r="AN14" s="74"/>
      <c r="AO14" s="74" t="s">
        <v>18</v>
      </c>
      <c r="AP14" s="73">
        <f>'Womens Data'!J15</f>
        <v>5</v>
      </c>
      <c r="AQ14" s="77">
        <f>'Womens Data'!AG15</f>
        <v>1.5</v>
      </c>
      <c r="AR14" s="74"/>
      <c r="AS14" s="74"/>
      <c r="AT14" s="74"/>
      <c r="AU14" s="74"/>
      <c r="AV14" s="74"/>
      <c r="AW14" s="74" t="s">
        <v>18</v>
      </c>
      <c r="AX14" s="73">
        <f>'Womens Data'!K15</f>
        <v>3</v>
      </c>
      <c r="AY14" s="77">
        <f>'Womens Data'!AH15</f>
        <v>-0.4</v>
      </c>
      <c r="AZ14" s="74"/>
      <c r="BA14" s="74"/>
      <c r="BB14" s="74"/>
      <c r="BC14" s="74"/>
      <c r="BD14" s="74"/>
      <c r="BE14" s="74"/>
      <c r="BF14" s="74" t="s">
        <v>18</v>
      </c>
      <c r="BG14" s="73">
        <f>'Womens Data'!L15</f>
        <v>6</v>
      </c>
      <c r="BH14" s="76">
        <f>'Womens Data'!AI15</f>
        <v>1</v>
      </c>
      <c r="BI14" s="77"/>
      <c r="BJ14" s="74"/>
      <c r="BK14" s="74"/>
      <c r="BL14" s="74"/>
      <c r="BM14" s="74"/>
      <c r="BN14" s="74" t="s">
        <v>18</v>
      </c>
      <c r="BO14" s="73">
        <f>'Womens Data'!M15</f>
        <v>7</v>
      </c>
      <c r="BP14" s="76">
        <f>'Womens Data'!AJ15</f>
        <v>0.16666666666666666</v>
      </c>
      <c r="BQ14" s="74"/>
      <c r="BR14" s="74"/>
      <c r="BS14" s="74"/>
      <c r="BT14" s="74"/>
      <c r="BU14" s="74" t="s">
        <v>18</v>
      </c>
      <c r="BV14" s="73">
        <f>'Womens Data'!N15</f>
        <v>8</v>
      </c>
      <c r="BW14" s="76">
        <f>'Womens Data'!AK15</f>
        <v>0.14285714285714285</v>
      </c>
      <c r="BX14" s="74"/>
      <c r="BY14" s="74"/>
      <c r="BZ14" s="74"/>
      <c r="CA14" s="74"/>
      <c r="CB14" s="74"/>
      <c r="CC14" s="74" t="s">
        <v>18</v>
      </c>
      <c r="CD14" s="73">
        <f>'Womens Data'!O15</f>
        <v>9</v>
      </c>
      <c r="CE14" s="76">
        <f>'Womens Data'!AL15</f>
        <v>0.125</v>
      </c>
      <c r="CF14" s="74"/>
      <c r="CG14" s="74"/>
      <c r="CH14" s="74"/>
      <c r="CI14" s="74"/>
      <c r="CJ14" s="74"/>
      <c r="CK14" s="74" t="s">
        <v>18</v>
      </c>
      <c r="CL14" s="73">
        <f>'Womens Data'!P15</f>
        <v>8</v>
      </c>
      <c r="CM14" s="76">
        <f>'Womens Data'!AM15</f>
        <v>-0.1111111111111111</v>
      </c>
      <c r="CN14" s="74"/>
      <c r="CO14" s="74"/>
      <c r="CP14" s="74"/>
      <c r="CQ14" s="74"/>
      <c r="CR14" s="74"/>
      <c r="CS14" s="74" t="s">
        <v>18</v>
      </c>
      <c r="CT14" s="73">
        <f>'Womens Data'!Q15</f>
        <v>4</v>
      </c>
      <c r="CU14" s="76">
        <f>'Womens Data'!AN15</f>
        <v>-0.5</v>
      </c>
      <c r="CV14" s="74"/>
    </row>
    <row r="15" spans="1:100">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row>
    <row r="16" spans="1:100">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row>
    <row r="17" spans="1:100">
      <c r="A17" s="74" t="s">
        <v>19</v>
      </c>
      <c r="B17" s="74" t="s">
        <v>2</v>
      </c>
      <c r="C17" s="74" t="s">
        <v>3</v>
      </c>
      <c r="D17" s="74" t="s">
        <v>31</v>
      </c>
      <c r="E17" s="74"/>
      <c r="F17" s="74"/>
      <c r="G17" s="74"/>
      <c r="H17" s="74"/>
      <c r="I17" s="74" t="s">
        <v>19</v>
      </c>
      <c r="J17" s="74" t="s">
        <v>2</v>
      </c>
      <c r="K17" s="74" t="s">
        <v>3</v>
      </c>
      <c r="L17" s="74" t="s">
        <v>31</v>
      </c>
      <c r="M17" s="74"/>
      <c r="N17" s="74"/>
      <c r="O17" s="74"/>
      <c r="P17" s="74" t="s">
        <v>19</v>
      </c>
      <c r="Q17" s="74" t="s">
        <v>2</v>
      </c>
      <c r="R17" s="74" t="s">
        <v>3</v>
      </c>
      <c r="S17" s="74" t="s">
        <v>31</v>
      </c>
      <c r="T17" s="74"/>
      <c r="U17" s="74"/>
      <c r="V17" s="74"/>
      <c r="W17" s="74"/>
      <c r="X17" s="74" t="s">
        <v>19</v>
      </c>
      <c r="Y17" s="74" t="s">
        <v>2</v>
      </c>
      <c r="Z17" s="74" t="s">
        <v>3</v>
      </c>
      <c r="AA17" s="74" t="s">
        <v>31</v>
      </c>
      <c r="AB17" s="74"/>
      <c r="AC17" s="74"/>
      <c r="AD17" s="74"/>
      <c r="AE17" s="74"/>
      <c r="AF17" s="74" t="s">
        <v>19</v>
      </c>
      <c r="AG17" s="74" t="s">
        <v>2</v>
      </c>
      <c r="AH17" s="74" t="s">
        <v>3</v>
      </c>
      <c r="AI17" s="74" t="s">
        <v>31</v>
      </c>
      <c r="AJ17" s="74"/>
      <c r="AK17" s="74"/>
      <c r="AL17" s="74"/>
      <c r="AM17" s="74"/>
      <c r="AN17" s="74" t="s">
        <v>19</v>
      </c>
      <c r="AO17" s="74" t="s">
        <v>2</v>
      </c>
      <c r="AP17" s="74" t="s">
        <v>3</v>
      </c>
      <c r="AQ17" s="74" t="s">
        <v>31</v>
      </c>
      <c r="AR17" s="74"/>
      <c r="AS17" s="74"/>
      <c r="AT17" s="74"/>
      <c r="AU17" s="74"/>
      <c r="AV17" s="74" t="s">
        <v>19</v>
      </c>
      <c r="AW17" s="74" t="s">
        <v>2</v>
      </c>
      <c r="AX17" s="74" t="s">
        <v>3</v>
      </c>
      <c r="AY17" s="74" t="s">
        <v>31</v>
      </c>
      <c r="AZ17" s="74"/>
      <c r="BA17" s="74"/>
      <c r="BB17" s="74"/>
      <c r="BC17" s="74"/>
      <c r="BD17" s="74"/>
      <c r="BE17" s="74" t="s">
        <v>19</v>
      </c>
      <c r="BF17" s="74" t="s">
        <v>2</v>
      </c>
      <c r="BG17" s="74" t="s">
        <v>3</v>
      </c>
      <c r="BH17" s="74" t="s">
        <v>31</v>
      </c>
      <c r="BI17" s="74"/>
      <c r="BJ17" s="74"/>
      <c r="BK17" s="74"/>
      <c r="BL17" s="74"/>
      <c r="BM17" s="74" t="s">
        <v>19</v>
      </c>
      <c r="BN17" s="74" t="s">
        <v>2</v>
      </c>
      <c r="BO17" s="74" t="s">
        <v>3</v>
      </c>
      <c r="BP17" s="74" t="s">
        <v>31</v>
      </c>
      <c r="BQ17" s="74"/>
      <c r="BR17" s="74"/>
      <c r="BS17" s="74"/>
      <c r="BT17" s="74" t="s">
        <v>19</v>
      </c>
      <c r="BU17" s="74" t="s">
        <v>2</v>
      </c>
      <c r="BV17" s="74" t="s">
        <v>3</v>
      </c>
      <c r="BW17" s="74" t="s">
        <v>31</v>
      </c>
      <c r="BX17" s="74"/>
      <c r="BY17" s="74"/>
      <c r="BZ17" s="74"/>
      <c r="CA17" s="74"/>
      <c r="CB17" s="74" t="s">
        <v>19</v>
      </c>
      <c r="CC17" s="74" t="s">
        <v>2</v>
      </c>
      <c r="CD17" s="74" t="s">
        <v>3</v>
      </c>
      <c r="CE17" s="74" t="s">
        <v>31</v>
      </c>
      <c r="CF17" s="74"/>
      <c r="CG17" s="74"/>
      <c r="CH17" s="74"/>
      <c r="CI17" s="74"/>
      <c r="CJ17" s="74" t="s">
        <v>19</v>
      </c>
      <c r="CK17" s="74" t="s">
        <v>2</v>
      </c>
      <c r="CL17" s="74" t="s">
        <v>3</v>
      </c>
      <c r="CM17" s="74" t="s">
        <v>31</v>
      </c>
      <c r="CN17" s="74"/>
      <c r="CO17" s="74"/>
      <c r="CP17" s="74"/>
      <c r="CQ17" s="74"/>
      <c r="CR17" s="74" t="s">
        <v>19</v>
      </c>
      <c r="CS17" s="74" t="s">
        <v>2</v>
      </c>
      <c r="CT17" s="74" t="s">
        <v>3</v>
      </c>
      <c r="CU17" s="74" t="s">
        <v>31</v>
      </c>
      <c r="CV17" s="74"/>
    </row>
    <row r="18" spans="1:100">
      <c r="A18" s="74"/>
      <c r="B18" s="74" t="s">
        <v>20</v>
      </c>
      <c r="C18" s="73">
        <f>'Womens Data'!E16</f>
        <v>4</v>
      </c>
      <c r="D18" s="76">
        <f>'Womens Data'!AB16</f>
        <v>0.33333333333333331</v>
      </c>
      <c r="E18" s="76"/>
      <c r="F18" s="74"/>
      <c r="G18" s="74"/>
      <c r="H18" s="74"/>
      <c r="I18" s="74"/>
      <c r="J18" s="74" t="s">
        <v>20</v>
      </c>
      <c r="K18" s="73">
        <f>'Womens Data'!F16</f>
        <v>12</v>
      </c>
      <c r="L18" s="76">
        <f>'Womens Data'!AC16</f>
        <v>2</v>
      </c>
      <c r="M18" s="74"/>
      <c r="N18" s="74"/>
      <c r="O18" s="74"/>
      <c r="P18" s="74"/>
      <c r="Q18" s="74" t="s">
        <v>20</v>
      </c>
      <c r="R18" s="73">
        <f>'Womens Data'!G16</f>
        <v>5</v>
      </c>
      <c r="S18" s="76">
        <f>'Womens Data'!AD16</f>
        <v>-0.58333333333333337</v>
      </c>
      <c r="T18" s="74"/>
      <c r="U18" s="74"/>
      <c r="V18" s="74"/>
      <c r="W18" s="74"/>
      <c r="X18" s="74"/>
      <c r="Y18" s="74" t="s">
        <v>20</v>
      </c>
      <c r="Z18" s="73">
        <f>'Womens Data'!H16</f>
        <v>7</v>
      </c>
      <c r="AA18" s="76">
        <f>'Womens Data'!AE16</f>
        <v>0.4</v>
      </c>
      <c r="AB18" s="74"/>
      <c r="AC18" s="74"/>
      <c r="AD18" s="74"/>
      <c r="AE18" s="74"/>
      <c r="AF18" s="74"/>
      <c r="AG18" s="74" t="s">
        <v>20</v>
      </c>
      <c r="AH18" s="73">
        <f>'Womens Data'!I16</f>
        <v>2</v>
      </c>
      <c r="AI18" s="76">
        <f>'Womens Data'!AF16</f>
        <v>-0.7142857142857143</v>
      </c>
      <c r="AJ18" s="74"/>
      <c r="AK18" s="74"/>
      <c r="AL18" s="74"/>
      <c r="AM18" s="74"/>
      <c r="AN18" s="74"/>
      <c r="AO18" s="74" t="s">
        <v>20</v>
      </c>
      <c r="AP18" s="73">
        <f>'Womens Data'!J16</f>
        <v>5</v>
      </c>
      <c r="AQ18" s="76">
        <f>'Womens Data'!AG16</f>
        <v>1.5</v>
      </c>
      <c r="AR18" s="74"/>
      <c r="AS18" s="74"/>
      <c r="AT18" s="74"/>
      <c r="AU18" s="74"/>
      <c r="AV18" s="74"/>
      <c r="AW18" s="74" t="s">
        <v>20</v>
      </c>
      <c r="AX18" s="73">
        <f>'Womens Data'!K16</f>
        <v>3</v>
      </c>
      <c r="AY18" s="76">
        <f>'Womens Data'!AH16</f>
        <v>-0.4</v>
      </c>
      <c r="AZ18" s="74"/>
      <c r="BA18" s="74"/>
      <c r="BB18" s="74"/>
      <c r="BC18" s="74"/>
      <c r="BD18" s="74"/>
      <c r="BE18" s="74"/>
      <c r="BF18" s="74" t="s">
        <v>20</v>
      </c>
      <c r="BG18" s="73">
        <f>'Womens Data'!L16</f>
        <v>6</v>
      </c>
      <c r="BH18" s="76">
        <f>'Womens Data'!AI16</f>
        <v>1</v>
      </c>
      <c r="BI18" s="76"/>
      <c r="BJ18" s="74"/>
      <c r="BK18" s="74"/>
      <c r="BL18" s="74"/>
      <c r="BM18" s="74"/>
      <c r="BN18" s="74" t="s">
        <v>20</v>
      </c>
      <c r="BO18" s="73">
        <f>'Womens Data'!M16</f>
        <v>7</v>
      </c>
      <c r="BP18" s="76">
        <f>'Womens Data'!AJ16</f>
        <v>0.16666666666666666</v>
      </c>
      <c r="BQ18" s="74"/>
      <c r="BR18" s="74"/>
      <c r="BS18" s="74"/>
      <c r="BT18" s="74"/>
      <c r="BU18" s="74" t="s">
        <v>20</v>
      </c>
      <c r="BV18" s="73">
        <f>'Womens Data'!N16</f>
        <v>8</v>
      </c>
      <c r="BW18" s="76">
        <f>'Womens Data'!AK16</f>
        <v>0.14285714285714285</v>
      </c>
      <c r="BX18" s="74"/>
      <c r="BY18" s="74"/>
      <c r="BZ18" s="74"/>
      <c r="CA18" s="74"/>
      <c r="CB18" s="74"/>
      <c r="CC18" s="74" t="s">
        <v>20</v>
      </c>
      <c r="CD18" s="73">
        <f>'Womens Data'!O16</f>
        <v>9</v>
      </c>
      <c r="CE18" s="76">
        <f>'Womens Data'!AL16</f>
        <v>0.125</v>
      </c>
      <c r="CF18" s="74"/>
      <c r="CG18" s="74"/>
      <c r="CH18" s="74"/>
      <c r="CI18" s="74"/>
      <c r="CJ18" s="74"/>
      <c r="CK18" s="74" t="s">
        <v>20</v>
      </c>
      <c r="CL18" s="73">
        <f>'Womens Data'!P16</f>
        <v>8</v>
      </c>
      <c r="CM18" s="76">
        <f>'Womens Data'!AM16</f>
        <v>-0.1111111111111111</v>
      </c>
      <c r="CN18" s="74"/>
      <c r="CO18" s="74"/>
      <c r="CP18" s="74"/>
      <c r="CQ18" s="74"/>
      <c r="CR18" s="74"/>
      <c r="CS18" s="74" t="s">
        <v>20</v>
      </c>
      <c r="CT18" s="73">
        <f>'Womens Data'!Q16</f>
        <v>4</v>
      </c>
      <c r="CU18" s="76">
        <f>'Womens Data'!AN16</f>
        <v>-0.5</v>
      </c>
      <c r="CV18" s="74"/>
    </row>
    <row r="19" spans="1:100">
      <c r="A19" s="74"/>
      <c r="B19" s="74" t="s">
        <v>21</v>
      </c>
      <c r="C19" s="73">
        <f>'Womens Data'!E17</f>
        <v>4</v>
      </c>
      <c r="D19" s="77">
        <f>'Womens Data'!AB17</f>
        <v>0.33333333333333331</v>
      </c>
      <c r="E19" s="77"/>
      <c r="F19" s="74"/>
      <c r="G19" s="74"/>
      <c r="H19" s="74"/>
      <c r="I19" s="74"/>
      <c r="J19" s="74" t="s">
        <v>21</v>
      </c>
      <c r="K19" s="73">
        <f>'Womens Data'!F17</f>
        <v>12</v>
      </c>
      <c r="L19" s="77">
        <f>'Womens Data'!AC17</f>
        <v>2</v>
      </c>
      <c r="M19" s="74"/>
      <c r="N19" s="74"/>
      <c r="O19" s="74"/>
      <c r="P19" s="74"/>
      <c r="Q19" s="74" t="s">
        <v>21</v>
      </c>
      <c r="R19" s="73">
        <f>'Womens Data'!G17</f>
        <v>5</v>
      </c>
      <c r="S19" s="77">
        <f>'Womens Data'!AD17</f>
        <v>-0.58333333333333337</v>
      </c>
      <c r="T19" s="74"/>
      <c r="U19" s="74"/>
      <c r="V19" s="74"/>
      <c r="W19" s="74"/>
      <c r="X19" s="74"/>
      <c r="Y19" s="74" t="s">
        <v>21</v>
      </c>
      <c r="Z19" s="73">
        <f>'Womens Data'!H17</f>
        <v>7</v>
      </c>
      <c r="AA19" s="77">
        <f>'Womens Data'!AE17</f>
        <v>0.4</v>
      </c>
      <c r="AB19" s="74"/>
      <c r="AC19" s="74"/>
      <c r="AD19" s="74"/>
      <c r="AE19" s="74"/>
      <c r="AF19" s="74"/>
      <c r="AG19" s="74" t="s">
        <v>21</v>
      </c>
      <c r="AH19" s="73">
        <f>'Womens Data'!I17</f>
        <v>2</v>
      </c>
      <c r="AI19" s="77">
        <f>'Womens Data'!AF17</f>
        <v>-0.7142857142857143</v>
      </c>
      <c r="AJ19" s="74"/>
      <c r="AK19" s="74"/>
      <c r="AL19" s="74"/>
      <c r="AM19" s="74"/>
      <c r="AN19" s="74"/>
      <c r="AO19" s="74" t="s">
        <v>21</v>
      </c>
      <c r="AP19" s="73">
        <f>'Womens Data'!J17</f>
        <v>5</v>
      </c>
      <c r="AQ19" s="76">
        <f>'Womens Data'!AG17</f>
        <v>1.5</v>
      </c>
      <c r="AR19" s="74"/>
      <c r="AS19" s="74"/>
      <c r="AT19" s="74"/>
      <c r="AU19" s="74"/>
      <c r="AV19" s="74"/>
      <c r="AW19" s="74" t="s">
        <v>21</v>
      </c>
      <c r="AX19" s="73">
        <f>'Womens Data'!K17</f>
        <v>3</v>
      </c>
      <c r="AY19" s="77">
        <f>'Womens Data'!AH17</f>
        <v>-0.4</v>
      </c>
      <c r="AZ19" s="74"/>
      <c r="BA19" s="74"/>
      <c r="BB19" s="74"/>
      <c r="BC19" s="74"/>
      <c r="BD19" s="74"/>
      <c r="BE19" s="74"/>
      <c r="BF19" s="74" t="s">
        <v>21</v>
      </c>
      <c r="BG19" s="73">
        <f>'Womens Data'!L17</f>
        <v>6</v>
      </c>
      <c r="BH19" s="76">
        <f>'Womens Data'!AI17</f>
        <v>1</v>
      </c>
      <c r="BI19" s="77"/>
      <c r="BJ19" s="74"/>
      <c r="BK19" s="74"/>
      <c r="BL19" s="74"/>
      <c r="BM19" s="74"/>
      <c r="BN19" s="74" t="s">
        <v>21</v>
      </c>
      <c r="BO19" s="73">
        <f>'Womens Data'!M17</f>
        <v>7</v>
      </c>
      <c r="BP19" s="76">
        <f>'Womens Data'!AJ17</f>
        <v>0.16666666666666666</v>
      </c>
      <c r="BQ19" s="74"/>
      <c r="BR19" s="74"/>
      <c r="BS19" s="74"/>
      <c r="BT19" s="74"/>
      <c r="BU19" s="74" t="s">
        <v>21</v>
      </c>
      <c r="BV19" s="73">
        <f>'Womens Data'!N17</f>
        <v>8</v>
      </c>
      <c r="BW19" s="76">
        <f>'Womens Data'!AK17</f>
        <v>0.14285714285714285</v>
      </c>
      <c r="BX19" s="74"/>
      <c r="BY19" s="74"/>
      <c r="BZ19" s="74"/>
      <c r="CA19" s="74"/>
      <c r="CB19" s="74"/>
      <c r="CC19" s="74" t="s">
        <v>21</v>
      </c>
      <c r="CD19" s="73">
        <f>'Womens Data'!O17</f>
        <v>9</v>
      </c>
      <c r="CE19" s="76">
        <f>'Womens Data'!AL17</f>
        <v>0.125</v>
      </c>
      <c r="CF19" s="74"/>
      <c r="CG19" s="74"/>
      <c r="CH19" s="74"/>
      <c r="CI19" s="74"/>
      <c r="CJ19" s="74"/>
      <c r="CK19" s="74" t="s">
        <v>21</v>
      </c>
      <c r="CL19" s="73">
        <f>'Womens Data'!P17</f>
        <v>8</v>
      </c>
      <c r="CM19" s="76">
        <f>'Womens Data'!AM17</f>
        <v>-0.1111111111111111</v>
      </c>
      <c r="CN19" s="74"/>
      <c r="CO19" s="74"/>
      <c r="CP19" s="74"/>
      <c r="CQ19" s="74"/>
      <c r="CR19" s="74"/>
      <c r="CS19" s="74" t="s">
        <v>21</v>
      </c>
      <c r="CT19" s="73">
        <f>'Womens Data'!Q17</f>
        <v>4</v>
      </c>
      <c r="CU19" s="76">
        <f>'Womens Data'!AN17</f>
        <v>-0.5</v>
      </c>
      <c r="CV19" s="74"/>
    </row>
    <row r="20" spans="1:100">
      <c r="A20" s="74"/>
      <c r="B20" s="74" t="s">
        <v>14</v>
      </c>
      <c r="C20" s="73">
        <f>'Womens Data'!E18</f>
        <v>4</v>
      </c>
      <c r="D20" s="77">
        <f>'Womens Data'!AB18</f>
        <v>0.33333333333333331</v>
      </c>
      <c r="E20" s="77"/>
      <c r="F20" s="74"/>
      <c r="G20" s="74"/>
      <c r="H20" s="74"/>
      <c r="I20" s="74"/>
      <c r="J20" s="74" t="s">
        <v>14</v>
      </c>
      <c r="K20" s="73">
        <f>'Womens Data'!F18</f>
        <v>12</v>
      </c>
      <c r="L20" s="77">
        <f>'Womens Data'!AC18</f>
        <v>2</v>
      </c>
      <c r="M20" s="74"/>
      <c r="N20" s="74"/>
      <c r="O20" s="74"/>
      <c r="P20" s="74"/>
      <c r="Q20" s="74" t="s">
        <v>14</v>
      </c>
      <c r="R20" s="73">
        <f>'Womens Data'!G18</f>
        <v>5</v>
      </c>
      <c r="S20" s="77">
        <f>'Womens Data'!AD18</f>
        <v>-0.58333333333333337</v>
      </c>
      <c r="T20" s="74"/>
      <c r="U20" s="74"/>
      <c r="V20" s="74"/>
      <c r="W20" s="74"/>
      <c r="X20" s="74"/>
      <c r="Y20" s="74" t="s">
        <v>14</v>
      </c>
      <c r="Z20" s="73">
        <f>'Womens Data'!H18</f>
        <v>7</v>
      </c>
      <c r="AA20" s="77">
        <f>'Womens Data'!AE18</f>
        <v>0.4</v>
      </c>
      <c r="AB20" s="74"/>
      <c r="AC20" s="74"/>
      <c r="AD20" s="74"/>
      <c r="AE20" s="74"/>
      <c r="AF20" s="74"/>
      <c r="AG20" s="74" t="s">
        <v>14</v>
      </c>
      <c r="AH20" s="73">
        <f>'Womens Data'!I18</f>
        <v>2</v>
      </c>
      <c r="AI20" s="77">
        <f>'Womens Data'!AF18</f>
        <v>-0.7142857142857143</v>
      </c>
      <c r="AJ20" s="74"/>
      <c r="AK20" s="74"/>
      <c r="AL20" s="74"/>
      <c r="AM20" s="74"/>
      <c r="AN20" s="74"/>
      <c r="AO20" s="74" t="s">
        <v>14</v>
      </c>
      <c r="AP20" s="73">
        <f>'Womens Data'!J18</f>
        <v>5</v>
      </c>
      <c r="AQ20" s="76">
        <f>'Womens Data'!AG18</f>
        <v>1.5</v>
      </c>
      <c r="AR20" s="74"/>
      <c r="AS20" s="74"/>
      <c r="AT20" s="74"/>
      <c r="AU20" s="74"/>
      <c r="AV20" s="74"/>
      <c r="AW20" s="74" t="s">
        <v>14</v>
      </c>
      <c r="AX20" s="73">
        <f>'Womens Data'!K18</f>
        <v>3</v>
      </c>
      <c r="AY20" s="77">
        <f>'Womens Data'!AH18</f>
        <v>-0.4</v>
      </c>
      <c r="AZ20" s="74"/>
      <c r="BA20" s="74"/>
      <c r="BB20" s="74"/>
      <c r="BC20" s="74"/>
      <c r="BD20" s="74"/>
      <c r="BE20" s="74"/>
      <c r="BF20" s="74" t="s">
        <v>14</v>
      </c>
      <c r="BG20" s="73">
        <f>'Womens Data'!L18</f>
        <v>6</v>
      </c>
      <c r="BH20" s="76">
        <f>'Womens Data'!AI18</f>
        <v>1</v>
      </c>
      <c r="BI20" s="77"/>
      <c r="BJ20" s="74"/>
      <c r="BK20" s="74"/>
      <c r="BL20" s="74"/>
      <c r="BM20" s="74"/>
      <c r="BN20" s="74" t="s">
        <v>14</v>
      </c>
      <c r="BO20" s="73">
        <f>'Womens Data'!M18</f>
        <v>7</v>
      </c>
      <c r="BP20" s="76">
        <f>'Womens Data'!AJ18</f>
        <v>0.16666666666666666</v>
      </c>
      <c r="BQ20" s="74"/>
      <c r="BR20" s="74"/>
      <c r="BS20" s="74"/>
      <c r="BT20" s="74"/>
      <c r="BU20" s="74" t="s">
        <v>14</v>
      </c>
      <c r="BV20" s="73">
        <f>'Womens Data'!N18</f>
        <v>8</v>
      </c>
      <c r="BW20" s="76">
        <f>'Womens Data'!AK18</f>
        <v>0.14285714285714285</v>
      </c>
      <c r="BX20" s="74"/>
      <c r="BY20" s="74"/>
      <c r="BZ20" s="74"/>
      <c r="CA20" s="74"/>
      <c r="CB20" s="74"/>
      <c r="CC20" s="74" t="s">
        <v>14</v>
      </c>
      <c r="CD20" s="73">
        <f>'Womens Data'!O18</f>
        <v>9</v>
      </c>
      <c r="CE20" s="76">
        <f>'Womens Data'!AL18</f>
        <v>0.125</v>
      </c>
      <c r="CF20" s="74"/>
      <c r="CG20" s="74"/>
      <c r="CH20" s="74"/>
      <c r="CI20" s="74"/>
      <c r="CJ20" s="74"/>
      <c r="CK20" s="74" t="s">
        <v>14</v>
      </c>
      <c r="CL20" s="73">
        <f>'Womens Data'!P18</f>
        <v>8</v>
      </c>
      <c r="CM20" s="76">
        <f>'Womens Data'!AM18</f>
        <v>-0.1111111111111111</v>
      </c>
      <c r="CN20" s="74"/>
      <c r="CO20" s="74"/>
      <c r="CP20" s="74"/>
      <c r="CQ20" s="74"/>
      <c r="CR20" s="74"/>
      <c r="CS20" s="74" t="s">
        <v>14</v>
      </c>
      <c r="CT20" s="73">
        <f>'Womens Data'!Q18</f>
        <v>4</v>
      </c>
      <c r="CU20" s="76">
        <f>'Womens Data'!AN18</f>
        <v>-0.5</v>
      </c>
      <c r="CV20" s="74"/>
    </row>
    <row r="21" spans="1:100">
      <c r="A21" s="74"/>
      <c r="B21" s="74" t="s">
        <v>22</v>
      </c>
      <c r="C21" s="73">
        <f>'Womens Data'!E19</f>
        <v>4</v>
      </c>
      <c r="D21" s="76">
        <f>'Womens Data'!AB19</f>
        <v>0.33333333333333331</v>
      </c>
      <c r="E21" s="76"/>
      <c r="F21" s="74"/>
      <c r="G21" s="74"/>
      <c r="H21" s="74"/>
      <c r="I21" s="74"/>
      <c r="J21" s="74" t="s">
        <v>22</v>
      </c>
      <c r="K21" s="73">
        <f>'Womens Data'!F19</f>
        <v>12</v>
      </c>
      <c r="L21" s="76">
        <f>'Womens Data'!AC19</f>
        <v>2</v>
      </c>
      <c r="M21" s="74"/>
      <c r="N21" s="74"/>
      <c r="O21" s="74"/>
      <c r="P21" s="74"/>
      <c r="Q21" s="74" t="s">
        <v>22</v>
      </c>
      <c r="R21" s="73">
        <f>'Womens Data'!G19</f>
        <v>5</v>
      </c>
      <c r="S21" s="76">
        <f>'Womens Data'!AD19</f>
        <v>-0.58333333333333337</v>
      </c>
      <c r="T21" s="74"/>
      <c r="U21" s="74"/>
      <c r="V21" s="74"/>
      <c r="W21" s="74"/>
      <c r="X21" s="74"/>
      <c r="Y21" s="74" t="s">
        <v>22</v>
      </c>
      <c r="Z21" s="73">
        <f>'Womens Data'!H19</f>
        <v>7</v>
      </c>
      <c r="AA21" s="76">
        <f>'Womens Data'!AE19</f>
        <v>0.4</v>
      </c>
      <c r="AB21" s="74"/>
      <c r="AC21" s="74"/>
      <c r="AD21" s="74"/>
      <c r="AE21" s="74"/>
      <c r="AF21" s="74"/>
      <c r="AG21" s="74" t="s">
        <v>22</v>
      </c>
      <c r="AH21" s="73">
        <f>'Womens Data'!I19</f>
        <v>2</v>
      </c>
      <c r="AI21" s="76">
        <f>'Womens Data'!AF19</f>
        <v>-0.7142857142857143</v>
      </c>
      <c r="AJ21" s="74"/>
      <c r="AK21" s="74"/>
      <c r="AL21" s="74"/>
      <c r="AM21" s="74"/>
      <c r="AN21" s="74"/>
      <c r="AO21" s="74" t="s">
        <v>22</v>
      </c>
      <c r="AP21" s="73">
        <f>'Womens Data'!J19</f>
        <v>5</v>
      </c>
      <c r="AQ21" s="76">
        <f>'Womens Data'!AG19</f>
        <v>1.5</v>
      </c>
      <c r="AR21" s="74"/>
      <c r="AS21" s="74"/>
      <c r="AT21" s="74"/>
      <c r="AU21" s="74"/>
      <c r="AV21" s="74"/>
      <c r="AW21" s="74" t="s">
        <v>22</v>
      </c>
      <c r="AX21" s="73">
        <f>'Womens Data'!K19</f>
        <v>3</v>
      </c>
      <c r="AY21" s="76">
        <f>'Womens Data'!AH19</f>
        <v>-0.4</v>
      </c>
      <c r="AZ21" s="74"/>
      <c r="BA21" s="74"/>
      <c r="BB21" s="74"/>
      <c r="BC21" s="74"/>
      <c r="BD21" s="74"/>
      <c r="BE21" s="74"/>
      <c r="BF21" s="74" t="s">
        <v>22</v>
      </c>
      <c r="BG21" s="73">
        <f>'Womens Data'!L19</f>
        <v>6</v>
      </c>
      <c r="BH21" s="76">
        <f>'Womens Data'!AI19</f>
        <v>1</v>
      </c>
      <c r="BI21" s="76"/>
      <c r="BJ21" s="74"/>
      <c r="BK21" s="74"/>
      <c r="BL21" s="74"/>
      <c r="BM21" s="74"/>
      <c r="BN21" s="74" t="s">
        <v>22</v>
      </c>
      <c r="BO21" s="73">
        <f>'Womens Data'!M19</f>
        <v>7</v>
      </c>
      <c r="BP21" s="76">
        <f>'Womens Data'!AJ19</f>
        <v>0.16666666666666666</v>
      </c>
      <c r="BQ21" s="74"/>
      <c r="BR21" s="74"/>
      <c r="BS21" s="74"/>
      <c r="BT21" s="74"/>
      <c r="BU21" s="74" t="s">
        <v>22</v>
      </c>
      <c r="BV21" s="73">
        <f>'Womens Data'!N19</f>
        <v>8</v>
      </c>
      <c r="BW21" s="76">
        <f>'Womens Data'!AK19</f>
        <v>0.14285714285714285</v>
      </c>
      <c r="BX21" s="74"/>
      <c r="BY21" s="74"/>
      <c r="BZ21" s="74"/>
      <c r="CA21" s="74"/>
      <c r="CB21" s="74"/>
      <c r="CC21" s="74" t="s">
        <v>22</v>
      </c>
      <c r="CD21" s="73">
        <f>'Womens Data'!O19</f>
        <v>9</v>
      </c>
      <c r="CE21" s="76">
        <f>'Womens Data'!AL19</f>
        <v>0.125</v>
      </c>
      <c r="CF21" s="74"/>
      <c r="CG21" s="74"/>
      <c r="CH21" s="74"/>
      <c r="CI21" s="74"/>
      <c r="CJ21" s="74"/>
      <c r="CK21" s="74" t="s">
        <v>22</v>
      </c>
      <c r="CL21" s="73">
        <f>'Womens Data'!P19</f>
        <v>8</v>
      </c>
      <c r="CM21" s="76">
        <f>'Womens Data'!AM19</f>
        <v>-0.1111111111111111</v>
      </c>
      <c r="CN21" s="74"/>
      <c r="CO21" s="74"/>
      <c r="CP21" s="74"/>
      <c r="CQ21" s="74"/>
      <c r="CR21" s="74"/>
      <c r="CS21" s="74" t="s">
        <v>22</v>
      </c>
      <c r="CT21" s="73">
        <f>'Womens Data'!Q19</f>
        <v>4</v>
      </c>
      <c r="CU21" s="76">
        <f>'Womens Data'!AN19</f>
        <v>-0.5</v>
      </c>
      <c r="CV21" s="74"/>
    </row>
    <row r="22" spans="1:100">
      <c r="A22" s="74"/>
      <c r="B22" s="74" t="s">
        <v>17</v>
      </c>
      <c r="C22" s="73">
        <f>'Womens Data'!E20</f>
        <v>4</v>
      </c>
      <c r="D22" s="76">
        <f>'Womens Data'!AB20</f>
        <v>0.33333333333333331</v>
      </c>
      <c r="E22" s="76"/>
      <c r="F22" s="74"/>
      <c r="G22" s="74"/>
      <c r="H22" s="74"/>
      <c r="I22" s="74"/>
      <c r="J22" s="74" t="s">
        <v>17</v>
      </c>
      <c r="K22" s="73">
        <f>'Womens Data'!F20</f>
        <v>12</v>
      </c>
      <c r="L22" s="76">
        <f>'Womens Data'!AC20</f>
        <v>2</v>
      </c>
      <c r="M22" s="74"/>
      <c r="N22" s="74"/>
      <c r="O22" s="74"/>
      <c r="P22" s="74"/>
      <c r="Q22" s="74" t="s">
        <v>17</v>
      </c>
      <c r="R22" s="73">
        <f>'Womens Data'!G20</f>
        <v>5</v>
      </c>
      <c r="S22" s="76">
        <f>'Womens Data'!AD20</f>
        <v>-0.58333333333333337</v>
      </c>
      <c r="T22" s="74"/>
      <c r="U22" s="74"/>
      <c r="V22" s="74"/>
      <c r="W22" s="74"/>
      <c r="X22" s="74"/>
      <c r="Y22" s="74" t="s">
        <v>17</v>
      </c>
      <c r="Z22" s="73">
        <f>'Womens Data'!H20</f>
        <v>7</v>
      </c>
      <c r="AA22" s="76">
        <f>'Womens Data'!AE20</f>
        <v>0.4</v>
      </c>
      <c r="AB22" s="74"/>
      <c r="AC22" s="74"/>
      <c r="AD22" s="74"/>
      <c r="AE22" s="74"/>
      <c r="AF22" s="74"/>
      <c r="AG22" s="74" t="s">
        <v>17</v>
      </c>
      <c r="AH22" s="73">
        <f>'Womens Data'!I20</f>
        <v>2</v>
      </c>
      <c r="AI22" s="76">
        <f>'Womens Data'!AF20</f>
        <v>-0.7142857142857143</v>
      </c>
      <c r="AJ22" s="74"/>
      <c r="AK22" s="74"/>
      <c r="AL22" s="74"/>
      <c r="AM22" s="74"/>
      <c r="AN22" s="74"/>
      <c r="AO22" s="74" t="s">
        <v>17</v>
      </c>
      <c r="AP22" s="73">
        <f>'Womens Data'!J20</f>
        <v>5</v>
      </c>
      <c r="AQ22" s="76">
        <f>'Womens Data'!AG20</f>
        <v>1.5</v>
      </c>
      <c r="AR22" s="74"/>
      <c r="AS22" s="74"/>
      <c r="AT22" s="74"/>
      <c r="AU22" s="74"/>
      <c r="AV22" s="74"/>
      <c r="AW22" s="74" t="s">
        <v>17</v>
      </c>
      <c r="AX22" s="73">
        <f>'Womens Data'!K20</f>
        <v>3</v>
      </c>
      <c r="AY22" s="76">
        <f>'Womens Data'!AH20</f>
        <v>-0.4</v>
      </c>
      <c r="AZ22" s="74"/>
      <c r="BA22" s="74"/>
      <c r="BB22" s="74"/>
      <c r="BC22" s="74"/>
      <c r="BD22" s="74"/>
      <c r="BE22" s="74"/>
      <c r="BF22" s="74" t="s">
        <v>17</v>
      </c>
      <c r="BG22" s="73">
        <f>'Womens Data'!L20</f>
        <v>6</v>
      </c>
      <c r="BH22" s="76">
        <f>'Womens Data'!AI20</f>
        <v>1</v>
      </c>
      <c r="BI22" s="76"/>
      <c r="BJ22" s="74"/>
      <c r="BK22" s="74"/>
      <c r="BL22" s="74"/>
      <c r="BM22" s="74"/>
      <c r="BN22" s="74" t="s">
        <v>17</v>
      </c>
      <c r="BO22" s="73">
        <f>'Womens Data'!M20</f>
        <v>7</v>
      </c>
      <c r="BP22" s="76">
        <f>'Womens Data'!AJ20</f>
        <v>0.16666666666666666</v>
      </c>
      <c r="BQ22" s="74"/>
      <c r="BR22" s="74"/>
      <c r="BS22" s="74"/>
      <c r="BT22" s="74"/>
      <c r="BU22" s="74" t="s">
        <v>17</v>
      </c>
      <c r="BV22" s="73">
        <f>'Womens Data'!N20</f>
        <v>8</v>
      </c>
      <c r="BW22" s="76">
        <f>'Womens Data'!AK20</f>
        <v>0.14285714285714285</v>
      </c>
      <c r="BX22" s="74"/>
      <c r="BY22" s="74"/>
      <c r="BZ22" s="74"/>
      <c r="CA22" s="74"/>
      <c r="CB22" s="74"/>
      <c r="CC22" s="74" t="s">
        <v>17</v>
      </c>
      <c r="CD22" s="73">
        <f>'Womens Data'!O20</f>
        <v>9</v>
      </c>
      <c r="CE22" s="76">
        <f>'Womens Data'!AL20</f>
        <v>0.125</v>
      </c>
      <c r="CF22" s="74"/>
      <c r="CG22" s="74"/>
      <c r="CH22" s="74"/>
      <c r="CI22" s="74"/>
      <c r="CJ22" s="74"/>
      <c r="CK22" s="74" t="s">
        <v>17</v>
      </c>
      <c r="CL22" s="73">
        <f>'Womens Data'!P20</f>
        <v>8</v>
      </c>
      <c r="CM22" s="76">
        <f>'Womens Data'!AM20</f>
        <v>-0.1111111111111111</v>
      </c>
      <c r="CN22" s="74"/>
      <c r="CO22" s="74"/>
      <c r="CP22" s="74"/>
      <c r="CQ22" s="74"/>
      <c r="CR22" s="74"/>
      <c r="CS22" s="74" t="s">
        <v>17</v>
      </c>
      <c r="CT22" s="73">
        <f>'Womens Data'!Q20</f>
        <v>4</v>
      </c>
      <c r="CU22" s="76">
        <f>'Womens Data'!AN20</f>
        <v>-0.5</v>
      </c>
      <c r="CV22" s="74"/>
    </row>
    <row r="23" spans="1:100">
      <c r="A23" s="74"/>
      <c r="B23" s="74" t="s">
        <v>23</v>
      </c>
      <c r="C23" s="73">
        <f>'Womens Data'!E21</f>
        <v>4</v>
      </c>
      <c r="D23" s="76">
        <f>'Womens Data'!AB21</f>
        <v>0.33333333333333331</v>
      </c>
      <c r="E23" s="76"/>
      <c r="F23" s="74"/>
      <c r="G23" s="74"/>
      <c r="H23" s="74"/>
      <c r="I23" s="74"/>
      <c r="J23" s="74" t="s">
        <v>23</v>
      </c>
      <c r="K23" s="73">
        <f>'Womens Data'!F21</f>
        <v>12</v>
      </c>
      <c r="L23" s="76">
        <f>'Womens Data'!AC21</f>
        <v>2</v>
      </c>
      <c r="M23" s="74"/>
      <c r="N23" s="74"/>
      <c r="O23" s="74"/>
      <c r="P23" s="74"/>
      <c r="Q23" s="74" t="s">
        <v>23</v>
      </c>
      <c r="R23" s="73">
        <f>'Womens Data'!G21</f>
        <v>5</v>
      </c>
      <c r="S23" s="76">
        <f>'Womens Data'!AD21</f>
        <v>-0.58333333333333337</v>
      </c>
      <c r="T23" s="74"/>
      <c r="U23" s="74"/>
      <c r="V23" s="74"/>
      <c r="W23" s="74"/>
      <c r="X23" s="74"/>
      <c r="Y23" s="74" t="s">
        <v>23</v>
      </c>
      <c r="Z23" s="73">
        <f>'Womens Data'!H21</f>
        <v>7</v>
      </c>
      <c r="AA23" s="76">
        <f>'Womens Data'!AE21</f>
        <v>0.4</v>
      </c>
      <c r="AB23" s="74"/>
      <c r="AC23" s="74"/>
      <c r="AD23" s="74"/>
      <c r="AE23" s="74"/>
      <c r="AF23" s="74"/>
      <c r="AG23" s="74" t="s">
        <v>23</v>
      </c>
      <c r="AH23" s="73">
        <f>'Womens Data'!I21</f>
        <v>2</v>
      </c>
      <c r="AI23" s="76">
        <f>'Womens Data'!AF21</f>
        <v>-0.7142857142857143</v>
      </c>
      <c r="AJ23" s="74"/>
      <c r="AK23" s="74"/>
      <c r="AL23" s="74"/>
      <c r="AM23" s="74"/>
      <c r="AN23" s="74"/>
      <c r="AO23" s="74" t="s">
        <v>23</v>
      </c>
      <c r="AP23" s="73">
        <f>'Womens Data'!J21</f>
        <v>5</v>
      </c>
      <c r="AQ23" s="76">
        <f>'Womens Data'!AG21</f>
        <v>1.5</v>
      </c>
      <c r="AR23" s="74"/>
      <c r="AS23" s="74"/>
      <c r="AT23" s="74"/>
      <c r="AU23" s="74"/>
      <c r="AV23" s="74"/>
      <c r="AW23" s="74" t="s">
        <v>23</v>
      </c>
      <c r="AX23" s="73">
        <f>'Womens Data'!K21</f>
        <v>3</v>
      </c>
      <c r="AY23" s="76">
        <f>'Womens Data'!AH21</f>
        <v>-0.4</v>
      </c>
      <c r="AZ23" s="74"/>
      <c r="BA23" s="74"/>
      <c r="BB23" s="74"/>
      <c r="BC23" s="74"/>
      <c r="BD23" s="74"/>
      <c r="BE23" s="74"/>
      <c r="BF23" s="74" t="s">
        <v>23</v>
      </c>
      <c r="BG23" s="73">
        <f>'Womens Data'!L21</f>
        <v>6</v>
      </c>
      <c r="BH23" s="76">
        <f>'Womens Data'!AI21</f>
        <v>1</v>
      </c>
      <c r="BI23" s="76"/>
      <c r="BJ23" s="74"/>
      <c r="BK23" s="74"/>
      <c r="BL23" s="74"/>
      <c r="BM23" s="74"/>
      <c r="BN23" s="74" t="s">
        <v>23</v>
      </c>
      <c r="BO23" s="73">
        <f>'Womens Data'!M21</f>
        <v>7</v>
      </c>
      <c r="BP23" s="76">
        <f>'Womens Data'!AJ21</f>
        <v>0.16666666666666666</v>
      </c>
      <c r="BQ23" s="74"/>
      <c r="BR23" s="74"/>
      <c r="BS23" s="74"/>
      <c r="BT23" s="74"/>
      <c r="BU23" s="74" t="s">
        <v>23</v>
      </c>
      <c r="BV23" s="73">
        <f>'Womens Data'!N21</f>
        <v>8</v>
      </c>
      <c r="BW23" s="76">
        <f>'Womens Data'!AK21</f>
        <v>0.14285714285714285</v>
      </c>
      <c r="BX23" s="74"/>
      <c r="BY23" s="74"/>
      <c r="BZ23" s="74"/>
      <c r="CA23" s="74"/>
      <c r="CB23" s="74"/>
      <c r="CC23" s="74" t="s">
        <v>23</v>
      </c>
      <c r="CD23" s="73">
        <f>'Womens Data'!O21</f>
        <v>9</v>
      </c>
      <c r="CE23" s="76">
        <f>'Womens Data'!AL21</f>
        <v>0.125</v>
      </c>
      <c r="CF23" s="74"/>
      <c r="CG23" s="74"/>
      <c r="CH23" s="74"/>
      <c r="CI23" s="74"/>
      <c r="CJ23" s="74"/>
      <c r="CK23" s="74" t="s">
        <v>23</v>
      </c>
      <c r="CL23" s="73">
        <f>'Womens Data'!P21</f>
        <v>8</v>
      </c>
      <c r="CM23" s="76">
        <f>'Womens Data'!AM21</f>
        <v>-0.1111111111111111</v>
      </c>
      <c r="CN23" s="74"/>
      <c r="CO23" s="74"/>
      <c r="CP23" s="74"/>
      <c r="CQ23" s="74"/>
      <c r="CR23" s="74"/>
      <c r="CS23" s="74" t="s">
        <v>23</v>
      </c>
      <c r="CT23" s="73">
        <f>'Womens Data'!Q21</f>
        <v>4</v>
      </c>
      <c r="CU23" s="76">
        <f>'Womens Data'!AN21</f>
        <v>-0.5</v>
      </c>
      <c r="CV23" s="74"/>
    </row>
    <row r="24" spans="1:100">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row>
    <row r="25" spans="1:100">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row>
    <row r="26" spans="1:100">
      <c r="A26" s="74" t="s">
        <v>0</v>
      </c>
      <c r="B26" s="74" t="s">
        <v>2</v>
      </c>
      <c r="C26" s="74" t="s">
        <v>3</v>
      </c>
      <c r="D26" s="74" t="s">
        <v>31</v>
      </c>
      <c r="E26" s="74"/>
      <c r="F26" s="74"/>
      <c r="G26" s="74"/>
      <c r="H26" s="74"/>
      <c r="I26" s="74" t="s">
        <v>0</v>
      </c>
      <c r="J26" s="74" t="s">
        <v>2</v>
      </c>
      <c r="K26" s="74" t="s">
        <v>3</v>
      </c>
      <c r="L26" s="74" t="s">
        <v>31</v>
      </c>
      <c r="M26" s="74"/>
      <c r="N26" s="74"/>
      <c r="O26" s="74"/>
      <c r="P26" s="74" t="s">
        <v>0</v>
      </c>
      <c r="Q26" s="74" t="s">
        <v>2</v>
      </c>
      <c r="R26" s="74" t="s">
        <v>3</v>
      </c>
      <c r="S26" s="74" t="s">
        <v>31</v>
      </c>
      <c r="T26" s="74"/>
      <c r="U26" s="74"/>
      <c r="V26" s="74"/>
      <c r="W26" s="74"/>
      <c r="X26" s="74" t="s">
        <v>0</v>
      </c>
      <c r="Y26" s="74" t="s">
        <v>2</v>
      </c>
      <c r="Z26" s="74" t="s">
        <v>3</v>
      </c>
      <c r="AA26" s="74" t="s">
        <v>31</v>
      </c>
      <c r="AB26" s="74"/>
      <c r="AC26" s="74"/>
      <c r="AD26" s="74"/>
      <c r="AE26" s="74"/>
      <c r="AF26" s="74" t="s">
        <v>0</v>
      </c>
      <c r="AG26" s="74" t="s">
        <v>2</v>
      </c>
      <c r="AH26" s="74" t="s">
        <v>3</v>
      </c>
      <c r="AI26" s="74" t="s">
        <v>31</v>
      </c>
      <c r="AJ26" s="74"/>
      <c r="AK26" s="74"/>
      <c r="AL26" s="74"/>
      <c r="AM26" s="74"/>
      <c r="AN26" s="74" t="s">
        <v>0</v>
      </c>
      <c r="AO26" s="74" t="s">
        <v>2</v>
      </c>
      <c r="AP26" s="74" t="s">
        <v>3</v>
      </c>
      <c r="AQ26" s="74" t="s">
        <v>31</v>
      </c>
      <c r="AR26" s="74"/>
      <c r="AS26" s="74"/>
      <c r="AT26" s="74"/>
      <c r="AU26" s="74"/>
      <c r="AV26" s="74" t="s">
        <v>0</v>
      </c>
      <c r="AW26" s="74" t="s">
        <v>2</v>
      </c>
      <c r="AX26" s="74" t="s">
        <v>3</v>
      </c>
      <c r="AY26" s="74" t="s">
        <v>31</v>
      </c>
      <c r="AZ26" s="74"/>
      <c r="BA26" s="74"/>
      <c r="BB26" s="74"/>
      <c r="BC26" s="74"/>
      <c r="BD26" s="74"/>
      <c r="BE26" s="74" t="s">
        <v>0</v>
      </c>
      <c r="BF26" s="74" t="s">
        <v>2</v>
      </c>
      <c r="BG26" s="74" t="s">
        <v>3</v>
      </c>
      <c r="BH26" s="74" t="s">
        <v>31</v>
      </c>
      <c r="BI26" s="74"/>
      <c r="BJ26" s="74"/>
      <c r="BK26" s="74"/>
      <c r="BL26" s="74"/>
      <c r="BM26" s="74" t="s">
        <v>0</v>
      </c>
      <c r="BN26" s="74" t="s">
        <v>2</v>
      </c>
      <c r="BO26" s="74" t="s">
        <v>3</v>
      </c>
      <c r="BP26" s="74" t="s">
        <v>31</v>
      </c>
      <c r="BQ26" s="74"/>
      <c r="BR26" s="74"/>
      <c r="BS26" s="74"/>
      <c r="BT26" s="74" t="s">
        <v>0</v>
      </c>
      <c r="BU26" s="74" t="s">
        <v>2</v>
      </c>
      <c r="BV26" s="74" t="s">
        <v>3</v>
      </c>
      <c r="BW26" s="74" t="s">
        <v>31</v>
      </c>
      <c r="BX26" s="74"/>
      <c r="BY26" s="74"/>
      <c r="BZ26" s="74"/>
      <c r="CA26" s="74"/>
      <c r="CB26" s="74" t="s">
        <v>0</v>
      </c>
      <c r="CC26" s="74" t="s">
        <v>2</v>
      </c>
      <c r="CD26" s="74" t="s">
        <v>3</v>
      </c>
      <c r="CE26" s="74" t="s">
        <v>31</v>
      </c>
      <c r="CF26" s="74"/>
      <c r="CG26" s="74"/>
      <c r="CH26" s="74"/>
      <c r="CI26" s="74"/>
      <c r="CJ26" s="74" t="s">
        <v>0</v>
      </c>
      <c r="CK26" s="74" t="s">
        <v>2</v>
      </c>
      <c r="CL26" s="74" t="s">
        <v>3</v>
      </c>
      <c r="CM26" s="74" t="s">
        <v>31</v>
      </c>
      <c r="CN26" s="74"/>
      <c r="CO26" s="74"/>
      <c r="CP26" s="74"/>
      <c r="CQ26" s="74"/>
      <c r="CR26" s="74" t="s">
        <v>0</v>
      </c>
      <c r="CS26" s="74" t="s">
        <v>2</v>
      </c>
      <c r="CT26" s="74" t="s">
        <v>3</v>
      </c>
      <c r="CU26" s="74" t="s">
        <v>31</v>
      </c>
      <c r="CV26" s="74"/>
    </row>
    <row r="27" spans="1:100">
      <c r="A27" s="74"/>
      <c r="B27" s="74" t="s">
        <v>4</v>
      </c>
      <c r="C27" s="73">
        <f>'Womens Data'!E22</f>
        <v>4</v>
      </c>
      <c r="D27" s="76">
        <f>'Womens Data'!AB22</f>
        <v>0.33333333333333331</v>
      </c>
      <c r="E27" s="76"/>
      <c r="F27" s="74"/>
      <c r="G27" s="74"/>
      <c r="H27" s="74"/>
      <c r="I27" s="74"/>
      <c r="J27" s="74" t="s">
        <v>4</v>
      </c>
      <c r="K27" s="73">
        <f>'Womens Data'!F22</f>
        <v>12</v>
      </c>
      <c r="L27" s="76">
        <f>'Womens Data'!AC22</f>
        <v>2</v>
      </c>
      <c r="M27" s="74"/>
      <c r="N27" s="74"/>
      <c r="O27" s="74"/>
      <c r="P27" s="74"/>
      <c r="Q27" s="74" t="s">
        <v>4</v>
      </c>
      <c r="R27" s="73">
        <f>'Womens Data'!G22</f>
        <v>5</v>
      </c>
      <c r="S27" s="76">
        <f>'Womens Data'!AD22</f>
        <v>-0.58333333333333337</v>
      </c>
      <c r="T27" s="74"/>
      <c r="U27" s="74"/>
      <c r="V27" s="74"/>
      <c r="W27" s="74"/>
      <c r="X27" s="74"/>
      <c r="Y27" s="74" t="s">
        <v>4</v>
      </c>
      <c r="Z27" s="73">
        <f>'Womens Data'!H22</f>
        <v>7</v>
      </c>
      <c r="AA27" s="76">
        <f>'Womens Data'!AE22</f>
        <v>0.4</v>
      </c>
      <c r="AB27" s="74"/>
      <c r="AC27" s="74"/>
      <c r="AD27" s="74"/>
      <c r="AE27" s="74"/>
      <c r="AF27" s="74"/>
      <c r="AG27" s="74" t="s">
        <v>4</v>
      </c>
      <c r="AH27" s="73">
        <f>'Womens Data'!I22</f>
        <v>2</v>
      </c>
      <c r="AI27" s="76">
        <f>'Womens Data'!AF22</f>
        <v>-0.7142857142857143</v>
      </c>
      <c r="AJ27" s="74"/>
      <c r="AK27" s="74"/>
      <c r="AL27" s="74"/>
      <c r="AM27" s="74"/>
      <c r="AN27" s="74"/>
      <c r="AO27" s="74" t="s">
        <v>4</v>
      </c>
      <c r="AP27" s="73">
        <f>'Womens Data'!J22</f>
        <v>5</v>
      </c>
      <c r="AQ27" s="76">
        <f>'Womens Data'!AG22</f>
        <v>1.5</v>
      </c>
      <c r="AR27" s="74"/>
      <c r="AS27" s="74"/>
      <c r="AT27" s="74"/>
      <c r="AU27" s="74"/>
      <c r="AV27" s="74"/>
      <c r="AW27" s="74" t="s">
        <v>4</v>
      </c>
      <c r="AX27" s="73">
        <f>'Womens Data'!K22</f>
        <v>3</v>
      </c>
      <c r="AY27" s="76">
        <f>'Womens Data'!AH22</f>
        <v>-0.4</v>
      </c>
      <c r="AZ27" s="74"/>
      <c r="BA27" s="74"/>
      <c r="BB27" s="74"/>
      <c r="BC27" s="74"/>
      <c r="BD27" s="74"/>
      <c r="BE27" s="74"/>
      <c r="BF27" s="74" t="s">
        <v>4</v>
      </c>
      <c r="BG27" s="73">
        <f>'Womens Data'!L22</f>
        <v>6</v>
      </c>
      <c r="BH27" s="76">
        <f>'Womens Data'!AI22</f>
        <v>1</v>
      </c>
      <c r="BI27" s="76"/>
      <c r="BJ27" s="74"/>
      <c r="BK27" s="74"/>
      <c r="BL27" s="74"/>
      <c r="BM27" s="74"/>
      <c r="BN27" s="74" t="s">
        <v>4</v>
      </c>
      <c r="BO27" s="73">
        <f>'Womens Data'!M22</f>
        <v>7</v>
      </c>
      <c r="BP27" s="76">
        <f>'Womens Data'!AJ22</f>
        <v>0.16666666666666666</v>
      </c>
      <c r="BQ27" s="74"/>
      <c r="BR27" s="74"/>
      <c r="BS27" s="74"/>
      <c r="BT27" s="74"/>
      <c r="BU27" s="74" t="s">
        <v>4</v>
      </c>
      <c r="BV27" s="73">
        <f>'Womens Data'!N22</f>
        <v>8</v>
      </c>
      <c r="BW27" s="76">
        <f>'Womens Data'!AK22</f>
        <v>0.14285714285714285</v>
      </c>
      <c r="BX27" s="74"/>
      <c r="BY27" s="74"/>
      <c r="BZ27" s="74"/>
      <c r="CA27" s="74"/>
      <c r="CB27" s="74"/>
      <c r="CC27" s="74" t="s">
        <v>4</v>
      </c>
      <c r="CD27" s="73">
        <f>'Womens Data'!O22</f>
        <v>9</v>
      </c>
      <c r="CE27" s="76">
        <f>'Womens Data'!AL22</f>
        <v>0.125</v>
      </c>
      <c r="CF27" s="74"/>
      <c r="CG27" s="74"/>
      <c r="CH27" s="74"/>
      <c r="CI27" s="74"/>
      <c r="CJ27" s="74"/>
      <c r="CK27" s="74" t="s">
        <v>4</v>
      </c>
      <c r="CL27" s="73">
        <f>'Womens Data'!P22</f>
        <v>8</v>
      </c>
      <c r="CM27" s="76">
        <f>'Womens Data'!AM22</f>
        <v>-0.1111111111111111</v>
      </c>
      <c r="CN27" s="74"/>
      <c r="CO27" s="74"/>
      <c r="CP27" s="74"/>
      <c r="CQ27" s="74"/>
      <c r="CR27" s="74"/>
      <c r="CS27" s="74" t="s">
        <v>4</v>
      </c>
      <c r="CT27" s="73">
        <f>'Womens Data'!Q22</f>
        <v>4</v>
      </c>
      <c r="CU27" s="76">
        <f>'Womens Data'!AN22</f>
        <v>-0.5</v>
      </c>
      <c r="CV27" s="74"/>
    </row>
    <row r="28" spans="1:100">
      <c r="A28" s="74"/>
      <c r="B28" s="74" t="s">
        <v>5</v>
      </c>
      <c r="C28" s="73">
        <f>'Womens Data'!E23</f>
        <v>4</v>
      </c>
      <c r="D28" s="76">
        <f>'Womens Data'!AB23</f>
        <v>0.33333333333333331</v>
      </c>
      <c r="E28" s="76"/>
      <c r="F28" s="74"/>
      <c r="G28" s="74"/>
      <c r="H28" s="74"/>
      <c r="I28" s="74"/>
      <c r="J28" s="74" t="s">
        <v>5</v>
      </c>
      <c r="K28" s="73">
        <f>'Womens Data'!F23</f>
        <v>12</v>
      </c>
      <c r="L28" s="76">
        <f>'Womens Data'!AC23</f>
        <v>2</v>
      </c>
      <c r="M28" s="74"/>
      <c r="N28" s="74"/>
      <c r="O28" s="74"/>
      <c r="P28" s="74"/>
      <c r="Q28" s="74" t="s">
        <v>5</v>
      </c>
      <c r="R28" s="73">
        <f>'Womens Data'!G23</f>
        <v>5</v>
      </c>
      <c r="S28" s="76">
        <f>'Womens Data'!AD23</f>
        <v>-0.58333333333333337</v>
      </c>
      <c r="T28" s="74"/>
      <c r="U28" s="74"/>
      <c r="V28" s="74"/>
      <c r="W28" s="74"/>
      <c r="X28" s="74"/>
      <c r="Y28" s="74" t="s">
        <v>5</v>
      </c>
      <c r="Z28" s="73">
        <f>'Womens Data'!H23</f>
        <v>7</v>
      </c>
      <c r="AA28" s="76">
        <f>'Womens Data'!AE23</f>
        <v>0.4</v>
      </c>
      <c r="AB28" s="74"/>
      <c r="AC28" s="74"/>
      <c r="AD28" s="74"/>
      <c r="AE28" s="74"/>
      <c r="AF28" s="74"/>
      <c r="AG28" s="74" t="s">
        <v>5</v>
      </c>
      <c r="AH28" s="73">
        <f>'Womens Data'!I23</f>
        <v>2</v>
      </c>
      <c r="AI28" s="76">
        <f>'Womens Data'!AF23</f>
        <v>-0.7142857142857143</v>
      </c>
      <c r="AJ28" s="74"/>
      <c r="AK28" s="74"/>
      <c r="AL28" s="74"/>
      <c r="AM28" s="74"/>
      <c r="AN28" s="74"/>
      <c r="AO28" s="74" t="s">
        <v>5</v>
      </c>
      <c r="AP28" s="73">
        <f>'Womens Data'!J23</f>
        <v>5</v>
      </c>
      <c r="AQ28" s="76">
        <f>'Womens Data'!AG23</f>
        <v>1.5</v>
      </c>
      <c r="AR28" s="74"/>
      <c r="AS28" s="74"/>
      <c r="AT28" s="74"/>
      <c r="AU28" s="74"/>
      <c r="AV28" s="74"/>
      <c r="AW28" s="74" t="s">
        <v>5</v>
      </c>
      <c r="AX28" s="73">
        <f>'Womens Data'!K23</f>
        <v>3</v>
      </c>
      <c r="AY28" s="76">
        <f>'Womens Data'!AH23</f>
        <v>-0.4</v>
      </c>
      <c r="AZ28" s="74"/>
      <c r="BA28" s="74"/>
      <c r="BB28" s="74"/>
      <c r="BC28" s="74"/>
      <c r="BD28" s="74"/>
      <c r="BE28" s="74"/>
      <c r="BF28" s="74" t="s">
        <v>5</v>
      </c>
      <c r="BG28" s="73">
        <f>'Womens Data'!L23</f>
        <v>6</v>
      </c>
      <c r="BH28" s="76">
        <f>'Womens Data'!AI23</f>
        <v>1</v>
      </c>
      <c r="BI28" s="76"/>
      <c r="BJ28" s="74"/>
      <c r="BK28" s="74"/>
      <c r="BL28" s="74"/>
      <c r="BM28" s="74"/>
      <c r="BN28" s="74" t="s">
        <v>5</v>
      </c>
      <c r="BO28" s="73">
        <f>'Womens Data'!M23</f>
        <v>7</v>
      </c>
      <c r="BP28" s="76">
        <f>'Womens Data'!AJ23</f>
        <v>0.16666666666666666</v>
      </c>
      <c r="BQ28" s="74"/>
      <c r="BR28" s="74"/>
      <c r="BS28" s="74"/>
      <c r="BT28" s="74"/>
      <c r="BU28" s="74" t="s">
        <v>5</v>
      </c>
      <c r="BV28" s="73">
        <f>'Womens Data'!N23</f>
        <v>8</v>
      </c>
      <c r="BW28" s="76">
        <f>'Womens Data'!AK23</f>
        <v>0.14285714285714285</v>
      </c>
      <c r="BX28" s="74"/>
      <c r="BY28" s="74"/>
      <c r="BZ28" s="74"/>
      <c r="CA28" s="74"/>
      <c r="CB28" s="74"/>
      <c r="CC28" s="74" t="s">
        <v>5</v>
      </c>
      <c r="CD28" s="73">
        <f>'Womens Data'!O23</f>
        <v>9</v>
      </c>
      <c r="CE28" s="76">
        <f>'Womens Data'!AL23</f>
        <v>0.125</v>
      </c>
      <c r="CF28" s="74"/>
      <c r="CG28" s="74"/>
      <c r="CH28" s="74"/>
      <c r="CI28" s="74"/>
      <c r="CJ28" s="74"/>
      <c r="CK28" s="74" t="s">
        <v>5</v>
      </c>
      <c r="CL28" s="73">
        <f>'Womens Data'!P23</f>
        <v>8</v>
      </c>
      <c r="CM28" s="76">
        <f>'Womens Data'!AM23</f>
        <v>-0.1111111111111111</v>
      </c>
      <c r="CN28" s="74"/>
      <c r="CO28" s="74"/>
      <c r="CP28" s="74"/>
      <c r="CQ28" s="74"/>
      <c r="CR28" s="74"/>
      <c r="CS28" s="74" t="s">
        <v>5</v>
      </c>
      <c r="CT28" s="73">
        <f>'Womens Data'!Q23</f>
        <v>4</v>
      </c>
      <c r="CU28" s="76">
        <f>'Womens Data'!AN23</f>
        <v>-0.5</v>
      </c>
      <c r="CV28" s="74"/>
    </row>
    <row r="29" spans="1:100">
      <c r="A29" s="74"/>
      <c r="B29" s="74" t="s">
        <v>6</v>
      </c>
      <c r="C29" s="73">
        <f>'Womens Data'!E24</f>
        <v>4</v>
      </c>
      <c r="D29" s="76">
        <f>'Womens Data'!AB24</f>
        <v>0.33333333333333331</v>
      </c>
      <c r="E29" s="76"/>
      <c r="F29" s="74"/>
      <c r="G29" s="74"/>
      <c r="H29" s="74"/>
      <c r="I29" s="74"/>
      <c r="J29" s="74" t="s">
        <v>6</v>
      </c>
      <c r="K29" s="73">
        <f>'Womens Data'!F24</f>
        <v>12</v>
      </c>
      <c r="L29" s="76">
        <f>'Womens Data'!AC24</f>
        <v>2</v>
      </c>
      <c r="M29" s="74"/>
      <c r="N29" s="74"/>
      <c r="O29" s="74"/>
      <c r="P29" s="74"/>
      <c r="Q29" s="74" t="s">
        <v>6</v>
      </c>
      <c r="R29" s="73">
        <f>'Womens Data'!G24</f>
        <v>5</v>
      </c>
      <c r="S29" s="76">
        <f>'Womens Data'!AD24</f>
        <v>-0.58333333333333337</v>
      </c>
      <c r="T29" s="74"/>
      <c r="U29" s="74"/>
      <c r="V29" s="74"/>
      <c r="W29" s="74"/>
      <c r="X29" s="74"/>
      <c r="Y29" s="74" t="s">
        <v>6</v>
      </c>
      <c r="Z29" s="73">
        <f>'Womens Data'!H24</f>
        <v>7</v>
      </c>
      <c r="AA29" s="76">
        <f>'Womens Data'!AE24</f>
        <v>0.4</v>
      </c>
      <c r="AB29" s="74"/>
      <c r="AC29" s="74"/>
      <c r="AD29" s="74"/>
      <c r="AE29" s="74"/>
      <c r="AF29" s="74"/>
      <c r="AG29" s="74" t="s">
        <v>6</v>
      </c>
      <c r="AH29" s="73">
        <f>'Womens Data'!I24</f>
        <v>2</v>
      </c>
      <c r="AI29" s="76">
        <f>'Womens Data'!AF24</f>
        <v>-0.7142857142857143</v>
      </c>
      <c r="AJ29" s="74"/>
      <c r="AK29" s="74"/>
      <c r="AL29" s="74"/>
      <c r="AM29" s="74"/>
      <c r="AN29" s="74"/>
      <c r="AO29" s="74" t="s">
        <v>6</v>
      </c>
      <c r="AP29" s="73">
        <f>'Womens Data'!J24</f>
        <v>5</v>
      </c>
      <c r="AQ29" s="76">
        <f>'Womens Data'!AG24</f>
        <v>1.5</v>
      </c>
      <c r="AR29" s="74"/>
      <c r="AS29" s="74"/>
      <c r="AT29" s="74"/>
      <c r="AU29" s="74"/>
      <c r="AV29" s="74"/>
      <c r="AW29" s="74" t="s">
        <v>6</v>
      </c>
      <c r="AX29" s="73">
        <f>'Womens Data'!K24</f>
        <v>3</v>
      </c>
      <c r="AY29" s="76">
        <f>'Womens Data'!AH24</f>
        <v>-0.4</v>
      </c>
      <c r="AZ29" s="74"/>
      <c r="BA29" s="74"/>
      <c r="BB29" s="74"/>
      <c r="BC29" s="74"/>
      <c r="BD29" s="74"/>
      <c r="BE29" s="74"/>
      <c r="BF29" s="74" t="s">
        <v>6</v>
      </c>
      <c r="BG29" s="73">
        <f>'Womens Data'!L24</f>
        <v>6</v>
      </c>
      <c r="BH29" s="76">
        <f>'Womens Data'!AI24</f>
        <v>1</v>
      </c>
      <c r="BI29" s="76"/>
      <c r="BJ29" s="74"/>
      <c r="BK29" s="74"/>
      <c r="BL29" s="74"/>
      <c r="BM29" s="74"/>
      <c r="BN29" s="74" t="s">
        <v>6</v>
      </c>
      <c r="BO29" s="73">
        <f>'Womens Data'!M24</f>
        <v>7</v>
      </c>
      <c r="BP29" s="76">
        <f>'Womens Data'!AJ24</f>
        <v>0.16666666666666666</v>
      </c>
      <c r="BQ29" s="74"/>
      <c r="BR29" s="74"/>
      <c r="BS29" s="74"/>
      <c r="BT29" s="74"/>
      <c r="BU29" s="74" t="s">
        <v>6</v>
      </c>
      <c r="BV29" s="73">
        <f>'Womens Data'!N24</f>
        <v>8</v>
      </c>
      <c r="BW29" s="76">
        <f>'Womens Data'!AK24</f>
        <v>0.14285714285714285</v>
      </c>
      <c r="BX29" s="74"/>
      <c r="BY29" s="74"/>
      <c r="BZ29" s="74"/>
      <c r="CA29" s="74"/>
      <c r="CB29" s="74"/>
      <c r="CC29" s="74" t="s">
        <v>6</v>
      </c>
      <c r="CD29" s="73">
        <f>'Womens Data'!O24</f>
        <v>9</v>
      </c>
      <c r="CE29" s="76">
        <f>'Womens Data'!AL24</f>
        <v>0.125</v>
      </c>
      <c r="CF29" s="74"/>
      <c r="CG29" s="74"/>
      <c r="CH29" s="74"/>
      <c r="CI29" s="74"/>
      <c r="CJ29" s="74"/>
      <c r="CK29" s="74" t="s">
        <v>6</v>
      </c>
      <c r="CL29" s="73">
        <f>'Womens Data'!P24</f>
        <v>8</v>
      </c>
      <c r="CM29" s="76">
        <f>'Womens Data'!AM24</f>
        <v>-0.1111111111111111</v>
      </c>
      <c r="CN29" s="74"/>
      <c r="CO29" s="74"/>
      <c r="CP29" s="74"/>
      <c r="CQ29" s="74"/>
      <c r="CR29" s="74"/>
      <c r="CS29" s="74" t="s">
        <v>6</v>
      </c>
      <c r="CT29" s="73">
        <f>'Womens Data'!Q24</f>
        <v>4</v>
      </c>
      <c r="CU29" s="76">
        <f>'Womens Data'!AN24</f>
        <v>-0.5</v>
      </c>
      <c r="CV29" s="74"/>
    </row>
    <row r="30" spans="1:100">
      <c r="A30" s="74"/>
      <c r="B30" s="74" t="s">
        <v>7</v>
      </c>
      <c r="C30" s="73">
        <f>'Womens Data'!E25</f>
        <v>4</v>
      </c>
      <c r="D30" s="76">
        <f>'Womens Data'!AB25</f>
        <v>0.33333333333333331</v>
      </c>
      <c r="E30" s="76"/>
      <c r="F30" s="74"/>
      <c r="G30" s="74"/>
      <c r="H30" s="74"/>
      <c r="I30" s="74"/>
      <c r="J30" s="74" t="s">
        <v>7</v>
      </c>
      <c r="K30" s="73">
        <f>'Womens Data'!F25</f>
        <v>12</v>
      </c>
      <c r="L30" s="76">
        <f>'Womens Data'!AC25</f>
        <v>2</v>
      </c>
      <c r="M30" s="74"/>
      <c r="N30" s="74"/>
      <c r="O30" s="74"/>
      <c r="P30" s="74"/>
      <c r="Q30" s="74" t="s">
        <v>7</v>
      </c>
      <c r="R30" s="73">
        <f>'Womens Data'!G25</f>
        <v>5</v>
      </c>
      <c r="S30" s="76">
        <f>'Womens Data'!AD25</f>
        <v>-0.58333333333333337</v>
      </c>
      <c r="T30" s="74"/>
      <c r="U30" s="74"/>
      <c r="V30" s="74"/>
      <c r="W30" s="74"/>
      <c r="X30" s="74"/>
      <c r="Y30" s="74" t="s">
        <v>7</v>
      </c>
      <c r="Z30" s="73">
        <f>'Womens Data'!H25</f>
        <v>7</v>
      </c>
      <c r="AA30" s="76">
        <f>'Womens Data'!AE25</f>
        <v>0.4</v>
      </c>
      <c r="AB30" s="74"/>
      <c r="AC30" s="74"/>
      <c r="AD30" s="74"/>
      <c r="AE30" s="74"/>
      <c r="AF30" s="74"/>
      <c r="AG30" s="74" t="s">
        <v>7</v>
      </c>
      <c r="AH30" s="73">
        <f>'Womens Data'!I25</f>
        <v>2</v>
      </c>
      <c r="AI30" s="76">
        <f>'Womens Data'!AF25</f>
        <v>-0.7142857142857143</v>
      </c>
      <c r="AJ30" s="74"/>
      <c r="AK30" s="74"/>
      <c r="AL30" s="74"/>
      <c r="AM30" s="74"/>
      <c r="AN30" s="74"/>
      <c r="AO30" s="74" t="s">
        <v>7</v>
      </c>
      <c r="AP30" s="73">
        <f>'Womens Data'!J25</f>
        <v>5</v>
      </c>
      <c r="AQ30" s="76">
        <f>'Womens Data'!AG25</f>
        <v>1.5</v>
      </c>
      <c r="AR30" s="74"/>
      <c r="AS30" s="74"/>
      <c r="AT30" s="74"/>
      <c r="AU30" s="74"/>
      <c r="AV30" s="74"/>
      <c r="AW30" s="74" t="s">
        <v>7</v>
      </c>
      <c r="AX30" s="73">
        <f>'Womens Data'!K25</f>
        <v>3</v>
      </c>
      <c r="AY30" s="76">
        <f>'Womens Data'!AH25</f>
        <v>-0.4</v>
      </c>
      <c r="AZ30" s="74"/>
      <c r="BA30" s="74"/>
      <c r="BB30" s="74"/>
      <c r="BC30" s="74"/>
      <c r="BD30" s="74"/>
      <c r="BE30" s="74"/>
      <c r="BF30" s="74" t="s">
        <v>7</v>
      </c>
      <c r="BG30" s="73">
        <f>'Womens Data'!L25</f>
        <v>6</v>
      </c>
      <c r="BH30" s="76">
        <f>'Womens Data'!AI25</f>
        <v>1</v>
      </c>
      <c r="BI30" s="76"/>
      <c r="BJ30" s="74"/>
      <c r="BK30" s="74"/>
      <c r="BL30" s="74"/>
      <c r="BM30" s="74"/>
      <c r="BN30" s="74" t="s">
        <v>7</v>
      </c>
      <c r="BO30" s="73">
        <f>'Womens Data'!M25</f>
        <v>7</v>
      </c>
      <c r="BP30" s="76">
        <f>'Womens Data'!AJ25</f>
        <v>0.16666666666666666</v>
      </c>
      <c r="BQ30" s="74"/>
      <c r="BR30" s="74"/>
      <c r="BS30" s="74"/>
      <c r="BT30" s="74"/>
      <c r="BU30" s="74" t="s">
        <v>7</v>
      </c>
      <c r="BV30" s="73">
        <f>'Womens Data'!N25</f>
        <v>8</v>
      </c>
      <c r="BW30" s="76">
        <f>'Womens Data'!AK25</f>
        <v>0.14285714285714285</v>
      </c>
      <c r="BX30" s="74"/>
      <c r="BY30" s="74"/>
      <c r="BZ30" s="74"/>
      <c r="CA30" s="74"/>
      <c r="CB30" s="74"/>
      <c r="CC30" s="74" t="s">
        <v>7</v>
      </c>
      <c r="CD30" s="73">
        <f>'Womens Data'!O25</f>
        <v>9</v>
      </c>
      <c r="CE30" s="76">
        <f>'Womens Data'!AL25</f>
        <v>0.125</v>
      </c>
      <c r="CF30" s="74"/>
      <c r="CG30" s="74"/>
      <c r="CH30" s="74"/>
      <c r="CI30" s="74"/>
      <c r="CJ30" s="74"/>
      <c r="CK30" s="74" t="s">
        <v>7</v>
      </c>
      <c r="CL30" s="73">
        <f>'Womens Data'!P25</f>
        <v>8</v>
      </c>
      <c r="CM30" s="76">
        <f>'Womens Data'!AM25</f>
        <v>-0.1111111111111111</v>
      </c>
      <c r="CN30" s="74"/>
      <c r="CO30" s="74"/>
      <c r="CP30" s="74"/>
      <c r="CQ30" s="74"/>
      <c r="CR30" s="74"/>
      <c r="CS30" s="74" t="s">
        <v>7</v>
      </c>
      <c r="CT30" s="73">
        <f>'Womens Data'!Q25</f>
        <v>4</v>
      </c>
      <c r="CU30" s="76">
        <f>'Womens Data'!AN25</f>
        <v>-0.5</v>
      </c>
      <c r="CV30" s="74"/>
    </row>
    <row r="31" spans="1:100">
      <c r="A31" s="74"/>
      <c r="B31" s="74"/>
      <c r="C31" s="73"/>
      <c r="D31" s="76"/>
      <c r="E31" s="76"/>
      <c r="F31" s="74"/>
      <c r="G31" s="74"/>
      <c r="H31" s="74"/>
      <c r="I31" s="74"/>
      <c r="J31" s="74"/>
      <c r="K31" s="73"/>
      <c r="L31" s="76"/>
      <c r="M31" s="74"/>
      <c r="N31" s="74"/>
      <c r="O31" s="74"/>
      <c r="P31" s="74"/>
      <c r="Q31" s="74"/>
      <c r="R31" s="73"/>
      <c r="S31" s="76"/>
      <c r="T31" s="74"/>
      <c r="U31" s="74"/>
      <c r="V31" s="74"/>
      <c r="W31" s="74"/>
      <c r="X31" s="74"/>
      <c r="Y31" s="74"/>
      <c r="Z31" s="73"/>
      <c r="AA31" s="76"/>
      <c r="AB31" s="74"/>
      <c r="AC31" s="74"/>
      <c r="AD31" s="74"/>
      <c r="AE31" s="74"/>
      <c r="AF31" s="74"/>
      <c r="AG31" s="74"/>
      <c r="AH31" s="73"/>
      <c r="AI31" s="76"/>
      <c r="AJ31" s="74"/>
      <c r="AK31" s="74"/>
      <c r="AL31" s="74"/>
      <c r="AM31" s="74"/>
      <c r="AN31" s="74"/>
      <c r="AO31" s="74"/>
      <c r="AP31" s="73"/>
      <c r="AQ31" s="76"/>
      <c r="AR31" s="74"/>
      <c r="AS31" s="74"/>
      <c r="AT31" s="74"/>
      <c r="AU31" s="74"/>
      <c r="AV31" s="74"/>
      <c r="AW31" s="74"/>
      <c r="AX31" s="73"/>
      <c r="AY31" s="76"/>
      <c r="AZ31" s="74"/>
      <c r="BA31" s="74"/>
      <c r="BB31" s="74"/>
      <c r="BC31" s="74"/>
      <c r="BD31" s="74"/>
      <c r="BE31" s="74"/>
      <c r="BF31" s="74"/>
      <c r="BG31" s="73"/>
      <c r="BH31" s="76"/>
      <c r="BI31" s="76"/>
      <c r="BJ31" s="74"/>
      <c r="BK31" s="74"/>
      <c r="BL31" s="74"/>
      <c r="BM31" s="74"/>
      <c r="BN31" s="74"/>
      <c r="BO31" s="73"/>
      <c r="BP31" s="76"/>
      <c r="BQ31" s="74"/>
      <c r="BR31" s="74"/>
      <c r="BS31" s="74"/>
      <c r="BT31" s="74"/>
      <c r="BU31" s="74"/>
      <c r="BV31" s="73"/>
      <c r="BW31" s="76"/>
      <c r="BX31" s="74"/>
      <c r="BY31" s="74"/>
      <c r="BZ31" s="74"/>
      <c r="CA31" s="74"/>
      <c r="CB31" s="74"/>
      <c r="CC31" s="74"/>
      <c r="CD31" s="73"/>
      <c r="CE31" s="76"/>
      <c r="CF31" s="74"/>
      <c r="CG31" s="74"/>
      <c r="CH31" s="74"/>
      <c r="CI31" s="74"/>
      <c r="CJ31" s="74"/>
      <c r="CK31" s="74"/>
      <c r="CL31" s="73"/>
      <c r="CM31" s="76"/>
      <c r="CN31" s="74"/>
      <c r="CO31" s="74"/>
      <c r="CP31" s="74"/>
      <c r="CQ31" s="74"/>
      <c r="CR31" s="74"/>
      <c r="CS31" s="74"/>
      <c r="CT31" s="73"/>
      <c r="CU31" s="76"/>
      <c r="CV31" s="74"/>
    </row>
    <row r="32" spans="1:100">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row>
    <row r="33" spans="1:100">
      <c r="A33" s="74" t="s">
        <v>24</v>
      </c>
      <c r="B33" s="74" t="s">
        <v>2</v>
      </c>
      <c r="C33" s="74" t="s">
        <v>3</v>
      </c>
      <c r="D33" s="74" t="s">
        <v>31</v>
      </c>
      <c r="E33" s="74"/>
      <c r="F33" s="74"/>
      <c r="G33" s="74"/>
      <c r="H33" s="74"/>
      <c r="I33" s="74" t="s">
        <v>24</v>
      </c>
      <c r="J33" s="74" t="s">
        <v>2</v>
      </c>
      <c r="K33" s="73" t="s">
        <v>3</v>
      </c>
      <c r="L33" s="74" t="s">
        <v>31</v>
      </c>
      <c r="M33" s="74"/>
      <c r="N33" s="74"/>
      <c r="O33" s="74"/>
      <c r="P33" s="74" t="s">
        <v>24</v>
      </c>
      <c r="Q33" s="74" t="s">
        <v>2</v>
      </c>
      <c r="R33" s="74" t="s">
        <v>3</v>
      </c>
      <c r="S33" s="74" t="s">
        <v>31</v>
      </c>
      <c r="T33" s="74"/>
      <c r="U33" s="74"/>
      <c r="V33" s="74"/>
      <c r="W33" s="74"/>
      <c r="X33" s="74" t="s">
        <v>24</v>
      </c>
      <c r="Y33" s="74" t="s">
        <v>2</v>
      </c>
      <c r="Z33" s="74" t="s">
        <v>3</v>
      </c>
      <c r="AA33" s="74" t="s">
        <v>31</v>
      </c>
      <c r="AB33" s="74"/>
      <c r="AC33" s="74"/>
      <c r="AD33" s="74"/>
      <c r="AE33" s="74"/>
      <c r="AF33" s="74" t="s">
        <v>24</v>
      </c>
      <c r="AG33" s="74" t="s">
        <v>2</v>
      </c>
      <c r="AH33" s="74" t="s">
        <v>3</v>
      </c>
      <c r="AI33" s="74" t="s">
        <v>31</v>
      </c>
      <c r="AJ33" s="74"/>
      <c r="AK33" s="74"/>
      <c r="AL33" s="74"/>
      <c r="AM33" s="74"/>
      <c r="AN33" s="74" t="s">
        <v>24</v>
      </c>
      <c r="AO33" s="74" t="s">
        <v>2</v>
      </c>
      <c r="AP33" s="74" t="s">
        <v>3</v>
      </c>
      <c r="AQ33" s="74" t="s">
        <v>31</v>
      </c>
      <c r="AR33" s="74"/>
      <c r="AS33" s="74"/>
      <c r="AT33" s="74"/>
      <c r="AU33" s="74"/>
      <c r="AV33" s="74" t="s">
        <v>24</v>
      </c>
      <c r="AW33" s="74" t="s">
        <v>2</v>
      </c>
      <c r="AX33" s="74" t="s">
        <v>3</v>
      </c>
      <c r="AY33" s="74" t="s">
        <v>31</v>
      </c>
      <c r="AZ33" s="74"/>
      <c r="BA33" s="74"/>
      <c r="BB33" s="74"/>
      <c r="BC33" s="74"/>
      <c r="BD33" s="74"/>
      <c r="BE33" s="74" t="s">
        <v>24</v>
      </c>
      <c r="BF33" s="74" t="s">
        <v>2</v>
      </c>
      <c r="BG33" s="74" t="s">
        <v>3</v>
      </c>
      <c r="BH33" s="74" t="s">
        <v>31</v>
      </c>
      <c r="BI33" s="74"/>
      <c r="BJ33" s="74"/>
      <c r="BK33" s="74"/>
      <c r="BL33" s="74"/>
      <c r="BM33" s="74" t="s">
        <v>24</v>
      </c>
      <c r="BN33" s="74" t="s">
        <v>2</v>
      </c>
      <c r="BO33" s="74" t="s">
        <v>3</v>
      </c>
      <c r="BP33" s="74" t="s">
        <v>31</v>
      </c>
      <c r="BQ33" s="74"/>
      <c r="BR33" s="74"/>
      <c r="BS33" s="74"/>
      <c r="BT33" s="74" t="s">
        <v>24</v>
      </c>
      <c r="BU33" s="74" t="s">
        <v>2</v>
      </c>
      <c r="BV33" s="74" t="s">
        <v>3</v>
      </c>
      <c r="BW33" s="74" t="s">
        <v>31</v>
      </c>
      <c r="BX33" s="74"/>
      <c r="BY33" s="74"/>
      <c r="BZ33" s="74"/>
      <c r="CA33" s="74"/>
      <c r="CB33" s="74" t="s">
        <v>24</v>
      </c>
      <c r="CC33" s="74" t="s">
        <v>2</v>
      </c>
      <c r="CD33" s="74" t="s">
        <v>3</v>
      </c>
      <c r="CE33" s="74" t="s">
        <v>31</v>
      </c>
      <c r="CF33" s="74"/>
      <c r="CG33" s="74"/>
      <c r="CH33" s="74"/>
      <c r="CI33" s="74"/>
      <c r="CJ33" s="74" t="s">
        <v>24</v>
      </c>
      <c r="CK33" s="74" t="s">
        <v>2</v>
      </c>
      <c r="CL33" s="74" t="s">
        <v>3</v>
      </c>
      <c r="CM33" s="74" t="s">
        <v>31</v>
      </c>
      <c r="CN33" s="74"/>
      <c r="CO33" s="74"/>
      <c r="CP33" s="74"/>
      <c r="CQ33" s="74"/>
      <c r="CR33" s="74" t="s">
        <v>24</v>
      </c>
      <c r="CS33" s="74" t="s">
        <v>2</v>
      </c>
      <c r="CT33" s="74" t="s">
        <v>3</v>
      </c>
      <c r="CU33" s="74" t="s">
        <v>31</v>
      </c>
      <c r="CV33" s="74"/>
    </row>
    <row r="34" spans="1:100">
      <c r="A34" s="74"/>
      <c r="B34" s="74" t="s">
        <v>20</v>
      </c>
      <c r="C34" s="73">
        <f>'Womens Data'!E26</f>
        <v>4</v>
      </c>
      <c r="D34" s="77">
        <f>'Womens Data'!AB26</f>
        <v>0.33333333333333331</v>
      </c>
      <c r="E34" s="77"/>
      <c r="F34" s="74"/>
      <c r="G34" s="74"/>
      <c r="H34" s="74"/>
      <c r="I34" s="74"/>
      <c r="J34" s="74" t="s">
        <v>20</v>
      </c>
      <c r="K34" s="73">
        <f>'Womens Data'!F26</f>
        <v>12</v>
      </c>
      <c r="L34" s="77">
        <f>'Womens Data'!AC26</f>
        <v>2</v>
      </c>
      <c r="M34" s="74"/>
      <c r="N34" s="74"/>
      <c r="O34" s="74"/>
      <c r="P34" s="74"/>
      <c r="Q34" s="74" t="s">
        <v>20</v>
      </c>
      <c r="R34" s="73">
        <f>'Womens Data'!G26</f>
        <v>5</v>
      </c>
      <c r="S34" s="77">
        <f>'Womens Data'!AD26</f>
        <v>-0.58333333333333337</v>
      </c>
      <c r="T34" s="74"/>
      <c r="U34" s="74"/>
      <c r="V34" s="74"/>
      <c r="W34" s="74"/>
      <c r="X34" s="74"/>
      <c r="Y34" s="74" t="s">
        <v>20</v>
      </c>
      <c r="Z34" s="73">
        <f>'Womens Data'!H26</f>
        <v>7</v>
      </c>
      <c r="AA34" s="77">
        <f>'Womens Data'!AE26</f>
        <v>0.4</v>
      </c>
      <c r="AB34" s="74"/>
      <c r="AC34" s="74"/>
      <c r="AD34" s="74"/>
      <c r="AE34" s="74"/>
      <c r="AF34" s="74"/>
      <c r="AG34" s="74" t="s">
        <v>20</v>
      </c>
      <c r="AH34" s="73">
        <f>'Womens Data'!I26</f>
        <v>2</v>
      </c>
      <c r="AI34" s="77">
        <f>'Womens Data'!AF26</f>
        <v>-0.7142857142857143</v>
      </c>
      <c r="AJ34" s="74"/>
      <c r="AK34" s="74"/>
      <c r="AL34" s="74"/>
      <c r="AM34" s="74"/>
      <c r="AN34" s="74"/>
      <c r="AO34" s="74" t="s">
        <v>20</v>
      </c>
      <c r="AP34" s="73">
        <f>'Womens Data'!J26</f>
        <v>5</v>
      </c>
      <c r="AQ34" s="77">
        <f>'Womens Data'!AG26</f>
        <v>1.5</v>
      </c>
      <c r="AR34" s="74"/>
      <c r="AS34" s="74"/>
      <c r="AT34" s="74"/>
      <c r="AU34" s="74"/>
      <c r="AV34" s="74"/>
      <c r="AW34" s="74" t="s">
        <v>20</v>
      </c>
      <c r="AX34" s="73">
        <f>'Womens Data'!K26</f>
        <v>3</v>
      </c>
      <c r="AY34" s="77">
        <f>'Womens Data'!AH26</f>
        <v>-0.4</v>
      </c>
      <c r="AZ34" s="74"/>
      <c r="BA34" s="74"/>
      <c r="BB34" s="74"/>
      <c r="BC34" s="74"/>
      <c r="BD34" s="74"/>
      <c r="BE34" s="74"/>
      <c r="BF34" s="74" t="s">
        <v>20</v>
      </c>
      <c r="BG34" s="73">
        <f>'Womens Data'!L26</f>
        <v>6</v>
      </c>
      <c r="BH34" s="77">
        <f>'Womens Data'!AI26</f>
        <v>1</v>
      </c>
      <c r="BI34" s="77"/>
      <c r="BJ34" s="74"/>
      <c r="BK34" s="74"/>
      <c r="BL34" s="74"/>
      <c r="BM34" s="74"/>
      <c r="BN34" s="74" t="s">
        <v>20</v>
      </c>
      <c r="BO34" s="73">
        <f>'Womens Data'!M26</f>
        <v>7</v>
      </c>
      <c r="BP34" s="77">
        <f>'Womens Data'!AJ26</f>
        <v>0.16666666666666666</v>
      </c>
      <c r="BQ34" s="74"/>
      <c r="BR34" s="74"/>
      <c r="BS34" s="74"/>
      <c r="BT34" s="74"/>
      <c r="BU34" s="74" t="s">
        <v>20</v>
      </c>
      <c r="BV34" s="73">
        <f>'Womens Data'!N26</f>
        <v>8</v>
      </c>
      <c r="BW34" s="77">
        <f>'Womens Data'!AK26</f>
        <v>0.14285714285714285</v>
      </c>
      <c r="BX34" s="74"/>
      <c r="BY34" s="74"/>
      <c r="BZ34" s="74"/>
      <c r="CA34" s="74"/>
      <c r="CB34" s="74"/>
      <c r="CC34" s="74" t="s">
        <v>20</v>
      </c>
      <c r="CD34" s="73">
        <f>'Womens Data'!O26</f>
        <v>9</v>
      </c>
      <c r="CE34" s="77">
        <f>'Womens Data'!AL26</f>
        <v>0.125</v>
      </c>
      <c r="CF34" s="74"/>
      <c r="CG34" s="74"/>
      <c r="CH34" s="74"/>
      <c r="CI34" s="74"/>
      <c r="CJ34" s="74"/>
      <c r="CK34" s="74" t="s">
        <v>20</v>
      </c>
      <c r="CL34" s="73">
        <f>'Womens Data'!P26</f>
        <v>8</v>
      </c>
      <c r="CM34" s="77">
        <f>'Womens Data'!AM26</f>
        <v>-0.1111111111111111</v>
      </c>
      <c r="CN34" s="74"/>
      <c r="CO34" s="74"/>
      <c r="CP34" s="74"/>
      <c r="CQ34" s="74"/>
      <c r="CR34" s="74"/>
      <c r="CS34" s="74" t="s">
        <v>20</v>
      </c>
      <c r="CT34" s="73">
        <f>'Womens Data'!Q26</f>
        <v>4</v>
      </c>
      <c r="CU34" s="77">
        <f>'Womens Data'!AN26</f>
        <v>-0.5</v>
      </c>
      <c r="CV34" s="74"/>
    </row>
    <row r="35" spans="1:100">
      <c r="A35" s="74"/>
      <c r="B35" s="74" t="s">
        <v>5</v>
      </c>
      <c r="C35" s="73">
        <f>'Womens Data'!E27</f>
        <v>4</v>
      </c>
      <c r="D35" s="77">
        <f>'Womens Data'!AB27</f>
        <v>0.33333333333333331</v>
      </c>
      <c r="E35" s="77"/>
      <c r="F35" s="74"/>
      <c r="G35" s="74"/>
      <c r="H35" s="74"/>
      <c r="I35" s="74"/>
      <c r="J35" s="74" t="s">
        <v>5</v>
      </c>
      <c r="K35" s="73">
        <f>'Womens Data'!F27</f>
        <v>12</v>
      </c>
      <c r="L35" s="77">
        <f>'Womens Data'!AC27</f>
        <v>2</v>
      </c>
      <c r="M35" s="74"/>
      <c r="N35" s="74"/>
      <c r="O35" s="74"/>
      <c r="P35" s="74"/>
      <c r="Q35" s="74" t="s">
        <v>5</v>
      </c>
      <c r="R35" s="73">
        <f>'Womens Data'!G27</f>
        <v>5</v>
      </c>
      <c r="S35" s="77">
        <f>'Womens Data'!AD27</f>
        <v>-0.58333333333333337</v>
      </c>
      <c r="T35" s="74"/>
      <c r="U35" s="74"/>
      <c r="V35" s="74"/>
      <c r="W35" s="74"/>
      <c r="X35" s="74"/>
      <c r="Y35" s="74" t="s">
        <v>5</v>
      </c>
      <c r="Z35" s="73">
        <f>'Womens Data'!H27</f>
        <v>7</v>
      </c>
      <c r="AA35" s="77">
        <f>'Womens Data'!AE27</f>
        <v>0.4</v>
      </c>
      <c r="AB35" s="74"/>
      <c r="AC35" s="74"/>
      <c r="AD35" s="74"/>
      <c r="AE35" s="74"/>
      <c r="AF35" s="74"/>
      <c r="AG35" s="74" t="s">
        <v>5</v>
      </c>
      <c r="AH35" s="73">
        <f>'Womens Data'!I27</f>
        <v>2</v>
      </c>
      <c r="AI35" s="77">
        <f>'Womens Data'!AF27</f>
        <v>-0.7142857142857143</v>
      </c>
      <c r="AJ35" s="74"/>
      <c r="AK35" s="74"/>
      <c r="AL35" s="74"/>
      <c r="AM35" s="74"/>
      <c r="AN35" s="74"/>
      <c r="AO35" s="74" t="s">
        <v>5</v>
      </c>
      <c r="AP35" s="73">
        <f>'Womens Data'!J27</f>
        <v>5</v>
      </c>
      <c r="AQ35" s="77">
        <f>'Womens Data'!AG27</f>
        <v>1.5</v>
      </c>
      <c r="AR35" s="74"/>
      <c r="AS35" s="74"/>
      <c r="AT35" s="74"/>
      <c r="AU35" s="74"/>
      <c r="AV35" s="74"/>
      <c r="AW35" s="74" t="s">
        <v>5</v>
      </c>
      <c r="AX35" s="73">
        <f>'Womens Data'!K27</f>
        <v>3</v>
      </c>
      <c r="AY35" s="77">
        <f>'Womens Data'!AH27</f>
        <v>-0.4</v>
      </c>
      <c r="AZ35" s="74"/>
      <c r="BA35" s="74"/>
      <c r="BB35" s="74"/>
      <c r="BC35" s="74"/>
      <c r="BD35" s="74"/>
      <c r="BE35" s="74"/>
      <c r="BF35" s="74" t="s">
        <v>5</v>
      </c>
      <c r="BG35" s="73">
        <f>'Womens Data'!L27</f>
        <v>6</v>
      </c>
      <c r="BH35" s="77">
        <f>'Womens Data'!AI27</f>
        <v>1</v>
      </c>
      <c r="BI35" s="77"/>
      <c r="BJ35" s="74"/>
      <c r="BK35" s="74"/>
      <c r="BL35" s="74"/>
      <c r="BM35" s="74"/>
      <c r="BN35" s="74" t="s">
        <v>5</v>
      </c>
      <c r="BO35" s="73">
        <f>'Womens Data'!M27</f>
        <v>7</v>
      </c>
      <c r="BP35" s="77">
        <f>'Womens Data'!AJ27</f>
        <v>0.16666666666666666</v>
      </c>
      <c r="BQ35" s="74"/>
      <c r="BR35" s="74"/>
      <c r="BS35" s="74"/>
      <c r="BT35" s="74"/>
      <c r="BU35" s="74" t="s">
        <v>5</v>
      </c>
      <c r="BV35" s="73">
        <f>'Womens Data'!N27</f>
        <v>8</v>
      </c>
      <c r="BW35" s="77">
        <f>'Womens Data'!AK27</f>
        <v>0.14285714285714285</v>
      </c>
      <c r="BX35" s="74"/>
      <c r="BY35" s="74"/>
      <c r="BZ35" s="74"/>
      <c r="CA35" s="74"/>
      <c r="CB35" s="74"/>
      <c r="CC35" s="74" t="s">
        <v>5</v>
      </c>
      <c r="CD35" s="73">
        <f>'Womens Data'!O27</f>
        <v>9</v>
      </c>
      <c r="CE35" s="77">
        <f>'Womens Data'!AL27</f>
        <v>0.125</v>
      </c>
      <c r="CF35" s="74"/>
      <c r="CG35" s="74"/>
      <c r="CH35" s="74"/>
      <c r="CI35" s="74"/>
      <c r="CJ35" s="74"/>
      <c r="CK35" s="74" t="s">
        <v>5</v>
      </c>
      <c r="CL35" s="73">
        <f>'Womens Data'!P27</f>
        <v>8</v>
      </c>
      <c r="CM35" s="77">
        <f>'Womens Data'!AM27</f>
        <v>-0.1111111111111111</v>
      </c>
      <c r="CN35" s="74"/>
      <c r="CO35" s="74"/>
      <c r="CP35" s="74"/>
      <c r="CQ35" s="74"/>
      <c r="CR35" s="74"/>
      <c r="CS35" s="74" t="s">
        <v>5</v>
      </c>
      <c r="CT35" s="73">
        <f>'Womens Data'!Q27</f>
        <v>4</v>
      </c>
      <c r="CU35" s="77">
        <f>'Womens Data'!AN27</f>
        <v>-0.5</v>
      </c>
      <c r="CV35" s="74"/>
    </row>
    <row r="36" spans="1:100">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row>
    <row r="37" spans="1:100">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row>
    <row r="38" spans="1:100">
      <c r="A38" s="74" t="s">
        <v>25</v>
      </c>
      <c r="B38" s="74" t="s">
        <v>2</v>
      </c>
      <c r="C38" s="74" t="s">
        <v>3</v>
      </c>
      <c r="D38" s="74" t="s">
        <v>31</v>
      </c>
      <c r="E38" s="74"/>
      <c r="F38" s="74"/>
      <c r="G38" s="74"/>
      <c r="H38" s="74"/>
      <c r="I38" s="74" t="s">
        <v>25</v>
      </c>
      <c r="J38" s="74" t="s">
        <v>2</v>
      </c>
      <c r="K38" s="73" t="s">
        <v>3</v>
      </c>
      <c r="L38" s="74" t="s">
        <v>31</v>
      </c>
      <c r="M38" s="74"/>
      <c r="N38" s="74"/>
      <c r="O38" s="74"/>
      <c r="P38" s="74" t="s">
        <v>25</v>
      </c>
      <c r="Q38" s="74" t="s">
        <v>2</v>
      </c>
      <c r="R38" s="74" t="s">
        <v>3</v>
      </c>
      <c r="S38" s="74" t="s">
        <v>31</v>
      </c>
      <c r="T38" s="74"/>
      <c r="U38" s="74"/>
      <c r="V38" s="74"/>
      <c r="W38" s="74"/>
      <c r="X38" s="74" t="s">
        <v>25</v>
      </c>
      <c r="Y38" s="74" t="s">
        <v>2</v>
      </c>
      <c r="Z38" s="74" t="s">
        <v>3</v>
      </c>
      <c r="AA38" s="74" t="s">
        <v>31</v>
      </c>
      <c r="AB38" s="74"/>
      <c r="AC38" s="74"/>
      <c r="AD38" s="74"/>
      <c r="AE38" s="74"/>
      <c r="AF38" s="74" t="s">
        <v>25</v>
      </c>
      <c r="AG38" s="74" t="s">
        <v>2</v>
      </c>
      <c r="AH38" s="74" t="s">
        <v>3</v>
      </c>
      <c r="AI38" s="74" t="s">
        <v>31</v>
      </c>
      <c r="AJ38" s="74"/>
      <c r="AK38" s="74"/>
      <c r="AL38" s="74"/>
      <c r="AM38" s="74"/>
      <c r="AN38" s="74" t="s">
        <v>25</v>
      </c>
      <c r="AO38" s="74" t="s">
        <v>2</v>
      </c>
      <c r="AP38" s="74" t="s">
        <v>3</v>
      </c>
      <c r="AQ38" s="74" t="s">
        <v>31</v>
      </c>
      <c r="AR38" s="74"/>
      <c r="AS38" s="74"/>
      <c r="AT38" s="74"/>
      <c r="AU38" s="74"/>
      <c r="AV38" s="74" t="s">
        <v>25</v>
      </c>
      <c r="AW38" s="74" t="s">
        <v>2</v>
      </c>
      <c r="AX38" s="74" t="s">
        <v>3</v>
      </c>
      <c r="AY38" s="74" t="s">
        <v>31</v>
      </c>
      <c r="AZ38" s="74"/>
      <c r="BA38" s="74"/>
      <c r="BB38" s="74"/>
      <c r="BC38" s="74"/>
      <c r="BD38" s="74"/>
      <c r="BE38" s="74" t="s">
        <v>25</v>
      </c>
      <c r="BF38" s="74" t="s">
        <v>2</v>
      </c>
      <c r="BG38" s="74" t="s">
        <v>3</v>
      </c>
      <c r="BH38" s="74" t="s">
        <v>31</v>
      </c>
      <c r="BI38" s="74"/>
      <c r="BJ38" s="74"/>
      <c r="BK38" s="74"/>
      <c r="BL38" s="74"/>
      <c r="BM38" s="74" t="s">
        <v>25</v>
      </c>
      <c r="BN38" s="74" t="s">
        <v>2</v>
      </c>
      <c r="BO38" s="74" t="s">
        <v>3</v>
      </c>
      <c r="BP38" s="74" t="s">
        <v>31</v>
      </c>
      <c r="BQ38" s="74"/>
      <c r="BR38" s="74"/>
      <c r="BS38" s="74"/>
      <c r="BT38" s="74" t="s">
        <v>25</v>
      </c>
      <c r="BU38" s="74" t="s">
        <v>2</v>
      </c>
      <c r="BV38" s="74" t="s">
        <v>3</v>
      </c>
      <c r="BW38" s="74" t="s">
        <v>31</v>
      </c>
      <c r="BX38" s="74"/>
      <c r="BY38" s="74"/>
      <c r="BZ38" s="74"/>
      <c r="CA38" s="74"/>
      <c r="CB38" s="74" t="s">
        <v>25</v>
      </c>
      <c r="CC38" s="74" t="s">
        <v>2</v>
      </c>
      <c r="CD38" s="74" t="s">
        <v>3</v>
      </c>
      <c r="CE38" s="74" t="s">
        <v>31</v>
      </c>
      <c r="CF38" s="74"/>
      <c r="CG38" s="74"/>
      <c r="CH38" s="74"/>
      <c r="CI38" s="74"/>
      <c r="CJ38" s="74" t="s">
        <v>25</v>
      </c>
      <c r="CK38" s="74" t="s">
        <v>2</v>
      </c>
      <c r="CL38" s="74" t="s">
        <v>3</v>
      </c>
      <c r="CM38" s="74" t="s">
        <v>31</v>
      </c>
      <c r="CN38" s="74"/>
      <c r="CO38" s="74"/>
      <c r="CP38" s="74"/>
      <c r="CQ38" s="74"/>
      <c r="CR38" s="74" t="s">
        <v>25</v>
      </c>
      <c r="CS38" s="74" t="s">
        <v>2</v>
      </c>
      <c r="CT38" s="74" t="s">
        <v>3</v>
      </c>
      <c r="CU38" s="74" t="s">
        <v>31</v>
      </c>
      <c r="CV38" s="74"/>
    </row>
    <row r="39" spans="1:100">
      <c r="A39" s="74"/>
      <c r="B39" s="74" t="s">
        <v>20</v>
      </c>
      <c r="C39" s="73">
        <f>'Womens Data'!E28</f>
        <v>4</v>
      </c>
      <c r="D39" s="76">
        <f>'Womens Data'!AB28</f>
        <v>0.33333333333333331</v>
      </c>
      <c r="E39" s="76"/>
      <c r="F39" s="74"/>
      <c r="G39" s="74"/>
      <c r="H39" s="74"/>
      <c r="I39" s="74"/>
      <c r="J39" s="74" t="s">
        <v>20</v>
      </c>
      <c r="K39" s="73">
        <f>'Womens Data'!F28</f>
        <v>12</v>
      </c>
      <c r="L39" s="76">
        <f>'Womens Data'!AC28</f>
        <v>2</v>
      </c>
      <c r="M39" s="74"/>
      <c r="N39" s="74"/>
      <c r="O39" s="74"/>
      <c r="P39" s="74"/>
      <c r="Q39" s="74" t="s">
        <v>20</v>
      </c>
      <c r="R39" s="73">
        <f>'Womens Data'!G28</f>
        <v>5</v>
      </c>
      <c r="S39" s="76">
        <f>'Womens Data'!AD28</f>
        <v>-0.58333333333333337</v>
      </c>
      <c r="T39" s="74"/>
      <c r="U39" s="74"/>
      <c r="V39" s="74"/>
      <c r="W39" s="74"/>
      <c r="X39" s="74"/>
      <c r="Y39" s="74" t="s">
        <v>20</v>
      </c>
      <c r="Z39" s="73">
        <f>'Womens Data'!H28</f>
        <v>7</v>
      </c>
      <c r="AA39" s="76">
        <f>'Womens Data'!AE28</f>
        <v>0.4</v>
      </c>
      <c r="AB39" s="74"/>
      <c r="AC39" s="74"/>
      <c r="AD39" s="74"/>
      <c r="AE39" s="74"/>
      <c r="AF39" s="74"/>
      <c r="AG39" s="74" t="s">
        <v>20</v>
      </c>
      <c r="AH39" s="73">
        <f>'Womens Data'!I28</f>
        <v>2</v>
      </c>
      <c r="AI39" s="76">
        <f>'Womens Data'!AF28</f>
        <v>-0.7142857142857143</v>
      </c>
      <c r="AJ39" s="74"/>
      <c r="AK39" s="74"/>
      <c r="AL39" s="74"/>
      <c r="AM39" s="74"/>
      <c r="AN39" s="74"/>
      <c r="AO39" s="74" t="s">
        <v>20</v>
      </c>
      <c r="AP39" s="73">
        <f>'Womens Data'!J28</f>
        <v>5</v>
      </c>
      <c r="AQ39" s="76">
        <f>'Womens Data'!AG28</f>
        <v>1.5</v>
      </c>
      <c r="AR39" s="74"/>
      <c r="AS39" s="74"/>
      <c r="AT39" s="74"/>
      <c r="AU39" s="74"/>
      <c r="AV39" s="74"/>
      <c r="AW39" s="74" t="s">
        <v>20</v>
      </c>
      <c r="AX39" s="73">
        <f>'Womens Data'!K28</f>
        <v>3</v>
      </c>
      <c r="AY39" s="76">
        <f>'Womens Data'!AH28</f>
        <v>-0.4</v>
      </c>
      <c r="AZ39" s="74"/>
      <c r="BA39" s="74"/>
      <c r="BB39" s="74"/>
      <c r="BC39" s="74"/>
      <c r="BD39" s="74"/>
      <c r="BE39" s="74"/>
      <c r="BF39" s="74" t="s">
        <v>20</v>
      </c>
      <c r="BG39" s="73">
        <f>'Womens Data'!L28</f>
        <v>6</v>
      </c>
      <c r="BH39" s="76">
        <f>'Womens Data'!AI28</f>
        <v>1</v>
      </c>
      <c r="BI39" s="76"/>
      <c r="BJ39" s="74"/>
      <c r="BK39" s="74"/>
      <c r="BL39" s="74"/>
      <c r="BM39" s="74"/>
      <c r="BN39" s="74" t="s">
        <v>20</v>
      </c>
      <c r="BO39" s="73">
        <f>'Womens Data'!M28</f>
        <v>7</v>
      </c>
      <c r="BP39" s="76">
        <f>'Womens Data'!AJ28</f>
        <v>0.16666666666666666</v>
      </c>
      <c r="BQ39" s="74"/>
      <c r="BR39" s="74"/>
      <c r="BS39" s="74"/>
      <c r="BT39" s="74"/>
      <c r="BU39" s="74" t="s">
        <v>20</v>
      </c>
      <c r="BV39" s="73">
        <f>'Womens Data'!N28</f>
        <v>8</v>
      </c>
      <c r="BW39" s="76">
        <f>'Womens Data'!AK28</f>
        <v>0.14285714285714285</v>
      </c>
      <c r="BX39" s="74"/>
      <c r="BY39" s="74"/>
      <c r="BZ39" s="74"/>
      <c r="CA39" s="74"/>
      <c r="CB39" s="74"/>
      <c r="CC39" s="74" t="s">
        <v>20</v>
      </c>
      <c r="CD39" s="73">
        <f>'Womens Data'!O28</f>
        <v>9</v>
      </c>
      <c r="CE39" s="76">
        <f>'Womens Data'!AL28</f>
        <v>0.125</v>
      </c>
      <c r="CF39" s="74"/>
      <c r="CG39" s="74"/>
      <c r="CH39" s="74"/>
      <c r="CI39" s="74"/>
      <c r="CJ39" s="74"/>
      <c r="CK39" s="74" t="s">
        <v>20</v>
      </c>
      <c r="CL39" s="73">
        <f>'Womens Data'!P28</f>
        <v>8</v>
      </c>
      <c r="CM39" s="76">
        <f>'Womens Data'!AM28</f>
        <v>-0.1111111111111111</v>
      </c>
      <c r="CN39" s="74"/>
      <c r="CO39" s="74"/>
      <c r="CP39" s="74"/>
      <c r="CQ39" s="74"/>
      <c r="CR39" s="74"/>
      <c r="CS39" s="74" t="s">
        <v>20</v>
      </c>
      <c r="CT39" s="73">
        <f>'Womens Data'!Q28</f>
        <v>4</v>
      </c>
      <c r="CU39" s="76">
        <f>'Womens Data'!AN28</f>
        <v>-0.5</v>
      </c>
      <c r="CV39" s="74"/>
    </row>
    <row r="40" spans="1:100">
      <c r="A40" s="74"/>
      <c r="B40" s="74" t="s">
        <v>26</v>
      </c>
      <c r="C40" s="73">
        <f>'Womens Data'!E29</f>
        <v>4</v>
      </c>
      <c r="D40" s="77">
        <f>'Womens Data'!AB29</f>
        <v>0.33333333333333331</v>
      </c>
      <c r="E40" s="77"/>
      <c r="F40" s="74"/>
      <c r="G40" s="74"/>
      <c r="H40" s="74"/>
      <c r="I40" s="74"/>
      <c r="J40" s="74" t="s">
        <v>26</v>
      </c>
      <c r="K40" s="73">
        <f>'Womens Data'!F29</f>
        <v>12</v>
      </c>
      <c r="L40" s="77">
        <f>'Womens Data'!AC29</f>
        <v>2</v>
      </c>
      <c r="M40" s="74"/>
      <c r="N40" s="74"/>
      <c r="O40" s="74"/>
      <c r="P40" s="74"/>
      <c r="Q40" s="74" t="s">
        <v>26</v>
      </c>
      <c r="R40" s="73">
        <f>'Womens Data'!G29</f>
        <v>5</v>
      </c>
      <c r="S40" s="77">
        <f>'Womens Data'!AD29</f>
        <v>-0.58333333333333337</v>
      </c>
      <c r="T40" s="74"/>
      <c r="U40" s="74"/>
      <c r="V40" s="74"/>
      <c r="W40" s="74"/>
      <c r="X40" s="74"/>
      <c r="Y40" s="74" t="s">
        <v>26</v>
      </c>
      <c r="Z40" s="73">
        <f>'Womens Data'!H29</f>
        <v>7</v>
      </c>
      <c r="AA40" s="77">
        <f>'Womens Data'!AE29</f>
        <v>0.4</v>
      </c>
      <c r="AB40" s="74"/>
      <c r="AC40" s="74"/>
      <c r="AD40" s="74"/>
      <c r="AE40" s="74"/>
      <c r="AF40" s="74"/>
      <c r="AG40" s="74" t="s">
        <v>26</v>
      </c>
      <c r="AH40" s="73">
        <f>'Womens Data'!I29</f>
        <v>2</v>
      </c>
      <c r="AI40" s="77">
        <f>'Womens Data'!AF29</f>
        <v>-0.7142857142857143</v>
      </c>
      <c r="AJ40" s="74"/>
      <c r="AK40" s="74"/>
      <c r="AL40" s="74"/>
      <c r="AM40" s="74"/>
      <c r="AN40" s="74"/>
      <c r="AO40" s="74" t="s">
        <v>26</v>
      </c>
      <c r="AP40" s="73">
        <f>'Womens Data'!J29</f>
        <v>5</v>
      </c>
      <c r="AQ40" s="77">
        <f>'Womens Data'!AG29</f>
        <v>1.5</v>
      </c>
      <c r="AR40" s="74"/>
      <c r="AS40" s="74"/>
      <c r="AT40" s="74"/>
      <c r="AU40" s="74"/>
      <c r="AV40" s="74"/>
      <c r="AW40" s="74" t="s">
        <v>26</v>
      </c>
      <c r="AX40" s="73">
        <f>'Womens Data'!K29</f>
        <v>3</v>
      </c>
      <c r="AY40" s="77">
        <f>'Womens Data'!AH29</f>
        <v>-0.4</v>
      </c>
      <c r="AZ40" s="74"/>
      <c r="BA40" s="74"/>
      <c r="BB40" s="74"/>
      <c r="BC40" s="74"/>
      <c r="BD40" s="74"/>
      <c r="BE40" s="74"/>
      <c r="BF40" s="74" t="s">
        <v>26</v>
      </c>
      <c r="BG40" s="73">
        <f>'Womens Data'!L29</f>
        <v>6</v>
      </c>
      <c r="BH40" s="76">
        <f>'Womens Data'!AI29</f>
        <v>1</v>
      </c>
      <c r="BI40" s="77"/>
      <c r="BJ40" s="74"/>
      <c r="BK40" s="74"/>
      <c r="BL40" s="74"/>
      <c r="BM40" s="74"/>
      <c r="BN40" s="74" t="s">
        <v>26</v>
      </c>
      <c r="BO40" s="73">
        <f>'Womens Data'!M29</f>
        <v>7</v>
      </c>
      <c r="BP40" s="76">
        <f>'Womens Data'!AJ29</f>
        <v>0.16666666666666666</v>
      </c>
      <c r="BQ40" s="74"/>
      <c r="BR40" s="74"/>
      <c r="BS40" s="74"/>
      <c r="BT40" s="74"/>
      <c r="BU40" s="74" t="s">
        <v>26</v>
      </c>
      <c r="BV40" s="73">
        <f>'Womens Data'!N29</f>
        <v>8</v>
      </c>
      <c r="BW40" s="76">
        <f>'Womens Data'!AK29</f>
        <v>0.14285714285714285</v>
      </c>
      <c r="BX40" s="74"/>
      <c r="BY40" s="74"/>
      <c r="BZ40" s="74"/>
      <c r="CA40" s="74"/>
      <c r="CB40" s="74"/>
      <c r="CC40" s="74" t="s">
        <v>26</v>
      </c>
      <c r="CD40" s="73">
        <f>'Womens Data'!O29</f>
        <v>9</v>
      </c>
      <c r="CE40" s="76">
        <f>'Womens Data'!AL29</f>
        <v>0.125</v>
      </c>
      <c r="CF40" s="74"/>
      <c r="CG40" s="74"/>
      <c r="CH40" s="74"/>
      <c r="CI40" s="74"/>
      <c r="CJ40" s="74"/>
      <c r="CK40" s="74" t="s">
        <v>26</v>
      </c>
      <c r="CL40" s="73">
        <f>'Womens Data'!P29</f>
        <v>8</v>
      </c>
      <c r="CM40" s="76">
        <f>'Womens Data'!AM29</f>
        <v>-0.1111111111111111</v>
      </c>
      <c r="CN40" s="74"/>
      <c r="CO40" s="74"/>
      <c r="CP40" s="74"/>
      <c r="CQ40" s="74"/>
      <c r="CR40" s="74"/>
      <c r="CS40" s="74" t="s">
        <v>26</v>
      </c>
      <c r="CT40" s="73">
        <f>'Womens Data'!Q29</f>
        <v>4</v>
      </c>
      <c r="CU40" s="76">
        <f>'Womens Data'!AN29</f>
        <v>-0.5</v>
      </c>
      <c r="CV40" s="74"/>
    </row>
    <row r="41" spans="1:100">
      <c r="A41" s="74"/>
      <c r="B41" s="74" t="s">
        <v>27</v>
      </c>
      <c r="C41" s="73">
        <f>'Womens Data'!E30</f>
        <v>4</v>
      </c>
      <c r="D41" s="76">
        <f>'Womens Data'!AB30</f>
        <v>0.33333333333333331</v>
      </c>
      <c r="E41" s="76"/>
      <c r="F41" s="74"/>
      <c r="G41" s="74"/>
      <c r="H41" s="74"/>
      <c r="I41" s="74"/>
      <c r="J41" s="74" t="s">
        <v>27</v>
      </c>
      <c r="K41" s="73">
        <f>'Womens Data'!F30</f>
        <v>12</v>
      </c>
      <c r="L41" s="76">
        <f>'Womens Data'!AC30</f>
        <v>2</v>
      </c>
      <c r="M41" s="74"/>
      <c r="N41" s="74"/>
      <c r="O41" s="74"/>
      <c r="P41" s="74"/>
      <c r="Q41" s="74" t="s">
        <v>27</v>
      </c>
      <c r="R41" s="73">
        <f>'Womens Data'!G30</f>
        <v>5</v>
      </c>
      <c r="S41" s="76">
        <f>'Womens Data'!AD30</f>
        <v>-0.58333333333333337</v>
      </c>
      <c r="T41" s="74"/>
      <c r="U41" s="74"/>
      <c r="V41" s="74"/>
      <c r="W41" s="74"/>
      <c r="X41" s="74"/>
      <c r="Y41" s="74" t="s">
        <v>27</v>
      </c>
      <c r="Z41" s="73">
        <f>'Womens Data'!H30</f>
        <v>7</v>
      </c>
      <c r="AA41" s="76">
        <f>'Womens Data'!AE30</f>
        <v>0.4</v>
      </c>
      <c r="AB41" s="74"/>
      <c r="AC41" s="74"/>
      <c r="AD41" s="74"/>
      <c r="AE41" s="74"/>
      <c r="AF41" s="74"/>
      <c r="AG41" s="74" t="s">
        <v>27</v>
      </c>
      <c r="AH41" s="73">
        <f>'Womens Data'!I30</f>
        <v>2</v>
      </c>
      <c r="AI41" s="76">
        <f>'Womens Data'!AF30</f>
        <v>-0.7142857142857143</v>
      </c>
      <c r="AJ41" s="74"/>
      <c r="AK41" s="74"/>
      <c r="AL41" s="74"/>
      <c r="AM41" s="74"/>
      <c r="AN41" s="74"/>
      <c r="AO41" s="74" t="s">
        <v>27</v>
      </c>
      <c r="AP41" s="73">
        <f>'Womens Data'!J30</f>
        <v>5</v>
      </c>
      <c r="AQ41" s="76">
        <f>'Womens Data'!AG30</f>
        <v>1.5</v>
      </c>
      <c r="AR41" s="74"/>
      <c r="AS41" s="74"/>
      <c r="AT41" s="74"/>
      <c r="AU41" s="74"/>
      <c r="AV41" s="74"/>
      <c r="AW41" s="74" t="s">
        <v>27</v>
      </c>
      <c r="AX41" s="73">
        <f>'Womens Data'!K30</f>
        <v>3</v>
      </c>
      <c r="AY41" s="76">
        <f>'Womens Data'!AH30</f>
        <v>-0.4</v>
      </c>
      <c r="AZ41" s="74"/>
      <c r="BA41" s="74"/>
      <c r="BB41" s="74"/>
      <c r="BC41" s="74"/>
      <c r="BD41" s="74"/>
      <c r="BE41" s="74"/>
      <c r="BF41" s="74" t="s">
        <v>27</v>
      </c>
      <c r="BG41" s="73">
        <f>'Womens Data'!L30</f>
        <v>6</v>
      </c>
      <c r="BH41" s="76">
        <f>'Womens Data'!AI30</f>
        <v>1</v>
      </c>
      <c r="BI41" s="76"/>
      <c r="BJ41" s="74"/>
      <c r="BK41" s="74"/>
      <c r="BL41" s="74"/>
      <c r="BM41" s="74"/>
      <c r="BN41" s="74" t="s">
        <v>27</v>
      </c>
      <c r="BO41" s="73">
        <f>'Womens Data'!M30</f>
        <v>7</v>
      </c>
      <c r="BP41" s="76">
        <f>'Womens Data'!AJ30</f>
        <v>0.16666666666666666</v>
      </c>
      <c r="BQ41" s="74"/>
      <c r="BR41" s="74"/>
      <c r="BS41" s="74"/>
      <c r="BT41" s="74"/>
      <c r="BU41" s="74" t="s">
        <v>27</v>
      </c>
      <c r="BV41" s="73">
        <f>'Womens Data'!N30</f>
        <v>8</v>
      </c>
      <c r="BW41" s="76">
        <f>'Womens Data'!AK30</f>
        <v>0.14285714285714285</v>
      </c>
      <c r="BX41" s="74"/>
      <c r="BY41" s="74"/>
      <c r="BZ41" s="74"/>
      <c r="CA41" s="74"/>
      <c r="CB41" s="74"/>
      <c r="CC41" s="74" t="s">
        <v>27</v>
      </c>
      <c r="CD41" s="73">
        <f>'Womens Data'!O30</f>
        <v>9</v>
      </c>
      <c r="CE41" s="76">
        <f>'Womens Data'!AL30</f>
        <v>0.125</v>
      </c>
      <c r="CF41" s="74"/>
      <c r="CG41" s="74"/>
      <c r="CH41" s="74"/>
      <c r="CI41" s="74"/>
      <c r="CJ41" s="74"/>
      <c r="CK41" s="74" t="s">
        <v>27</v>
      </c>
      <c r="CL41" s="73">
        <f>'Womens Data'!P30</f>
        <v>8</v>
      </c>
      <c r="CM41" s="76">
        <f>'Womens Data'!AM30</f>
        <v>-0.1111111111111111</v>
      </c>
      <c r="CN41" s="74"/>
      <c r="CO41" s="74"/>
      <c r="CP41" s="74"/>
      <c r="CQ41" s="74"/>
      <c r="CR41" s="74"/>
      <c r="CS41" s="74" t="s">
        <v>27</v>
      </c>
      <c r="CT41" s="73">
        <f>'Womens Data'!Q30</f>
        <v>4</v>
      </c>
      <c r="CU41" s="76">
        <f>'Womens Data'!AN30</f>
        <v>-0.5</v>
      </c>
      <c r="CV41" s="74"/>
    </row>
    <row r="42" spans="1:100">
      <c r="A42" s="74"/>
      <c r="B42" s="74" t="s">
        <v>28</v>
      </c>
      <c r="C42" s="73">
        <f>'Womens Data'!E31</f>
        <v>4</v>
      </c>
      <c r="D42" s="76">
        <f>'Womens Data'!AB31</f>
        <v>0.33333333333333331</v>
      </c>
      <c r="E42" s="76"/>
      <c r="F42" s="74"/>
      <c r="G42" s="74"/>
      <c r="H42" s="74"/>
      <c r="I42" s="74"/>
      <c r="J42" s="74" t="s">
        <v>28</v>
      </c>
      <c r="K42" s="73">
        <f>'Womens Data'!F31</f>
        <v>12</v>
      </c>
      <c r="L42" s="76">
        <f>'Womens Data'!AC31</f>
        <v>2</v>
      </c>
      <c r="M42" s="74"/>
      <c r="N42" s="74"/>
      <c r="O42" s="74"/>
      <c r="P42" s="74"/>
      <c r="Q42" s="74" t="s">
        <v>28</v>
      </c>
      <c r="R42" s="73">
        <f>'Womens Data'!G31</f>
        <v>5</v>
      </c>
      <c r="S42" s="76">
        <f>'Womens Data'!AD31</f>
        <v>-0.58333333333333337</v>
      </c>
      <c r="T42" s="74"/>
      <c r="U42" s="74"/>
      <c r="V42" s="74"/>
      <c r="W42" s="74"/>
      <c r="X42" s="74"/>
      <c r="Y42" s="74" t="s">
        <v>28</v>
      </c>
      <c r="Z42" s="73">
        <f>'Womens Data'!H31</f>
        <v>7</v>
      </c>
      <c r="AA42" s="76">
        <f>'Womens Data'!AE31</f>
        <v>0.4</v>
      </c>
      <c r="AB42" s="74"/>
      <c r="AC42" s="74"/>
      <c r="AD42" s="74"/>
      <c r="AE42" s="74"/>
      <c r="AF42" s="74"/>
      <c r="AG42" s="74" t="s">
        <v>28</v>
      </c>
      <c r="AH42" s="73">
        <f>'Womens Data'!I31</f>
        <v>2</v>
      </c>
      <c r="AI42" s="76">
        <f>'Womens Data'!AF31</f>
        <v>-0.7142857142857143</v>
      </c>
      <c r="AJ42" s="74"/>
      <c r="AK42" s="74"/>
      <c r="AL42" s="74"/>
      <c r="AM42" s="74"/>
      <c r="AN42" s="74"/>
      <c r="AO42" s="74" t="s">
        <v>28</v>
      </c>
      <c r="AP42" s="73">
        <f>'Womens Data'!J31</f>
        <v>5</v>
      </c>
      <c r="AQ42" s="76">
        <f>'Womens Data'!AG31</f>
        <v>1.5</v>
      </c>
      <c r="AR42" s="74"/>
      <c r="AS42" s="74"/>
      <c r="AT42" s="74"/>
      <c r="AU42" s="74"/>
      <c r="AV42" s="74"/>
      <c r="AW42" s="74" t="s">
        <v>28</v>
      </c>
      <c r="AX42" s="73">
        <f>'Womens Data'!K31</f>
        <v>3</v>
      </c>
      <c r="AY42" s="76">
        <f>'Womens Data'!AH31</f>
        <v>-0.4</v>
      </c>
      <c r="AZ42" s="74"/>
      <c r="BA42" s="74"/>
      <c r="BB42" s="74"/>
      <c r="BC42" s="74"/>
      <c r="BD42" s="74"/>
      <c r="BE42" s="74"/>
      <c r="BF42" s="74" t="s">
        <v>28</v>
      </c>
      <c r="BG42" s="73">
        <f>'Womens Data'!L31</f>
        <v>6</v>
      </c>
      <c r="BH42" s="76">
        <f>'Womens Data'!AI31</f>
        <v>1</v>
      </c>
      <c r="BI42" s="76"/>
      <c r="BJ42" s="74"/>
      <c r="BK42" s="74"/>
      <c r="BL42" s="74"/>
      <c r="BM42" s="74"/>
      <c r="BN42" s="74" t="s">
        <v>28</v>
      </c>
      <c r="BO42" s="73">
        <f>'Womens Data'!M31</f>
        <v>7</v>
      </c>
      <c r="BP42" s="76">
        <f>'Womens Data'!AJ31</f>
        <v>0.16666666666666666</v>
      </c>
      <c r="BQ42" s="74"/>
      <c r="BR42" s="74"/>
      <c r="BS42" s="74"/>
      <c r="BT42" s="74"/>
      <c r="BU42" s="74" t="s">
        <v>28</v>
      </c>
      <c r="BV42" s="73">
        <f>'Womens Data'!N31</f>
        <v>8</v>
      </c>
      <c r="BW42" s="76">
        <f>'Womens Data'!AK31</f>
        <v>0.14285714285714285</v>
      </c>
      <c r="BX42" s="74"/>
      <c r="BY42" s="74"/>
      <c r="BZ42" s="74"/>
      <c r="CA42" s="74"/>
      <c r="CB42" s="74"/>
      <c r="CC42" s="74" t="s">
        <v>28</v>
      </c>
      <c r="CD42" s="73">
        <f>'Womens Data'!O31</f>
        <v>9</v>
      </c>
      <c r="CE42" s="76">
        <f>'Womens Data'!AL31</f>
        <v>0.125</v>
      </c>
      <c r="CF42" s="74"/>
      <c r="CG42" s="74"/>
      <c r="CH42" s="74"/>
      <c r="CI42" s="74"/>
      <c r="CJ42" s="74"/>
      <c r="CK42" s="74" t="s">
        <v>28</v>
      </c>
      <c r="CL42" s="73">
        <f>'Womens Data'!P31</f>
        <v>8</v>
      </c>
      <c r="CM42" s="76">
        <f>'Womens Data'!AM31</f>
        <v>-0.1111111111111111</v>
      </c>
      <c r="CN42" s="74"/>
      <c r="CO42" s="74"/>
      <c r="CP42" s="74"/>
      <c r="CQ42" s="74"/>
      <c r="CR42" s="74"/>
      <c r="CS42" s="74" t="s">
        <v>28</v>
      </c>
      <c r="CT42" s="73">
        <f>'Womens Data'!Q31</f>
        <v>4</v>
      </c>
      <c r="CU42" s="76">
        <f>'Womens Data'!AN31</f>
        <v>-0.5</v>
      </c>
      <c r="CV42" s="74"/>
    </row>
    <row r="43" spans="1:100">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row>
    <row r="44" spans="1:100">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row>
    <row r="45" spans="1:100">
      <c r="A45" s="74" t="s">
        <v>29</v>
      </c>
      <c r="B45" s="74" t="s">
        <v>2</v>
      </c>
      <c r="C45" s="74" t="s">
        <v>3</v>
      </c>
      <c r="D45" s="74" t="s">
        <v>31</v>
      </c>
      <c r="E45" s="74"/>
      <c r="F45" s="74"/>
      <c r="G45" s="74"/>
      <c r="H45" s="74"/>
      <c r="I45" s="74" t="s">
        <v>29</v>
      </c>
      <c r="J45" s="74" t="s">
        <v>2</v>
      </c>
      <c r="K45" s="73" t="s">
        <v>3</v>
      </c>
      <c r="L45" s="74" t="s">
        <v>31</v>
      </c>
      <c r="M45" s="74"/>
      <c r="N45" s="74"/>
      <c r="O45" s="74"/>
      <c r="P45" s="74" t="s">
        <v>29</v>
      </c>
      <c r="Q45" s="74" t="s">
        <v>2</v>
      </c>
      <c r="R45" s="74" t="s">
        <v>3</v>
      </c>
      <c r="S45" s="74" t="s">
        <v>31</v>
      </c>
      <c r="T45" s="74"/>
      <c r="U45" s="74"/>
      <c r="V45" s="74"/>
      <c r="W45" s="74"/>
      <c r="X45" s="74" t="s">
        <v>29</v>
      </c>
      <c r="Y45" s="74" t="s">
        <v>2</v>
      </c>
      <c r="Z45" s="74" t="s">
        <v>3</v>
      </c>
      <c r="AA45" s="74" t="s">
        <v>31</v>
      </c>
      <c r="AB45" s="74"/>
      <c r="AC45" s="74"/>
      <c r="AD45" s="74"/>
      <c r="AE45" s="74"/>
      <c r="AF45" s="74" t="s">
        <v>29</v>
      </c>
      <c r="AG45" s="74" t="s">
        <v>2</v>
      </c>
      <c r="AH45" s="74" t="s">
        <v>3</v>
      </c>
      <c r="AI45" s="74" t="s">
        <v>31</v>
      </c>
      <c r="AJ45" s="74"/>
      <c r="AK45" s="74"/>
      <c r="AL45" s="74"/>
      <c r="AM45" s="74"/>
      <c r="AN45" s="74" t="s">
        <v>29</v>
      </c>
      <c r="AO45" s="74" t="s">
        <v>2</v>
      </c>
      <c r="AP45" s="74" t="s">
        <v>3</v>
      </c>
      <c r="AQ45" s="74" t="s">
        <v>31</v>
      </c>
      <c r="AR45" s="74"/>
      <c r="AS45" s="74"/>
      <c r="AT45" s="74"/>
      <c r="AU45" s="74"/>
      <c r="AV45" s="74" t="s">
        <v>29</v>
      </c>
      <c r="AW45" s="74" t="s">
        <v>2</v>
      </c>
      <c r="AX45" s="74" t="s">
        <v>3</v>
      </c>
      <c r="AY45" s="74" t="s">
        <v>31</v>
      </c>
      <c r="AZ45" s="74"/>
      <c r="BA45" s="74"/>
      <c r="BB45" s="74"/>
      <c r="BC45" s="74"/>
      <c r="BD45" s="74"/>
      <c r="BE45" s="74" t="s">
        <v>29</v>
      </c>
      <c r="BF45" s="74" t="s">
        <v>2</v>
      </c>
      <c r="BG45" s="74" t="s">
        <v>3</v>
      </c>
      <c r="BH45" s="74" t="s">
        <v>31</v>
      </c>
      <c r="BI45" s="74"/>
      <c r="BJ45" s="74"/>
      <c r="BK45" s="74"/>
      <c r="BL45" s="74"/>
      <c r="BM45" s="74" t="s">
        <v>29</v>
      </c>
      <c r="BN45" s="74" t="s">
        <v>2</v>
      </c>
      <c r="BO45" s="74" t="s">
        <v>3</v>
      </c>
      <c r="BP45" s="74" t="s">
        <v>31</v>
      </c>
      <c r="BQ45" s="74"/>
      <c r="BR45" s="74"/>
      <c r="BS45" s="74"/>
      <c r="BT45" s="74" t="s">
        <v>29</v>
      </c>
      <c r="BU45" s="74" t="s">
        <v>2</v>
      </c>
      <c r="BV45" s="74" t="s">
        <v>3</v>
      </c>
      <c r="BW45" s="74" t="s">
        <v>31</v>
      </c>
      <c r="BX45" s="74"/>
      <c r="BY45" s="74"/>
      <c r="BZ45" s="74"/>
      <c r="CA45" s="74"/>
      <c r="CB45" s="74" t="s">
        <v>29</v>
      </c>
      <c r="CC45" s="74" t="s">
        <v>2</v>
      </c>
      <c r="CD45" s="74" t="s">
        <v>3</v>
      </c>
      <c r="CE45" s="74" t="s">
        <v>31</v>
      </c>
      <c r="CF45" s="74"/>
      <c r="CG45" s="74"/>
      <c r="CH45" s="74"/>
      <c r="CI45" s="74"/>
      <c r="CJ45" s="74" t="s">
        <v>29</v>
      </c>
      <c r="CK45" s="74" t="s">
        <v>2</v>
      </c>
      <c r="CL45" s="74" t="s">
        <v>3</v>
      </c>
      <c r="CM45" s="74" t="s">
        <v>31</v>
      </c>
      <c r="CN45" s="74"/>
      <c r="CO45" s="74"/>
      <c r="CP45" s="74"/>
      <c r="CQ45" s="74"/>
      <c r="CR45" s="74" t="s">
        <v>29</v>
      </c>
      <c r="CS45" s="74" t="s">
        <v>2</v>
      </c>
      <c r="CT45" s="74" t="s">
        <v>3</v>
      </c>
      <c r="CU45" s="74" t="s">
        <v>31</v>
      </c>
      <c r="CV45" s="74"/>
    </row>
    <row r="46" spans="1:100">
      <c r="A46" s="74"/>
      <c r="B46" s="74" t="s">
        <v>9</v>
      </c>
      <c r="C46" s="73">
        <f>'Womens Data'!E32</f>
        <v>4</v>
      </c>
      <c r="D46" s="76">
        <f>'Womens Data'!AB32</f>
        <v>0.33333333333333331</v>
      </c>
      <c r="E46" s="76"/>
      <c r="F46" s="74"/>
      <c r="G46" s="74"/>
      <c r="H46" s="74"/>
      <c r="I46" s="74"/>
      <c r="J46" s="74" t="s">
        <v>9</v>
      </c>
      <c r="K46" s="73">
        <f>'Womens Data'!F32</f>
        <v>12</v>
      </c>
      <c r="L46" s="76">
        <f>'Womens Data'!AC32</f>
        <v>2</v>
      </c>
      <c r="M46" s="74"/>
      <c r="N46" s="74"/>
      <c r="O46" s="74"/>
      <c r="P46" s="74"/>
      <c r="Q46" s="74" t="s">
        <v>9</v>
      </c>
      <c r="R46" s="73">
        <f>'Womens Data'!G32</f>
        <v>5</v>
      </c>
      <c r="S46" s="76">
        <f>'Womens Data'!AD32</f>
        <v>-0.58333333333333337</v>
      </c>
      <c r="T46" s="74"/>
      <c r="U46" s="74"/>
      <c r="V46" s="74"/>
      <c r="W46" s="74"/>
      <c r="X46" s="74"/>
      <c r="Y46" s="74" t="s">
        <v>9</v>
      </c>
      <c r="Z46" s="73">
        <f>'Womens Data'!H32</f>
        <v>7</v>
      </c>
      <c r="AA46" s="76">
        <f>'Womens Data'!AE32</f>
        <v>0.4</v>
      </c>
      <c r="AB46" s="74"/>
      <c r="AC46" s="74"/>
      <c r="AD46" s="74"/>
      <c r="AE46" s="74"/>
      <c r="AF46" s="74"/>
      <c r="AG46" s="74" t="s">
        <v>9</v>
      </c>
      <c r="AH46" s="73">
        <f>'Womens Data'!I32</f>
        <v>2</v>
      </c>
      <c r="AI46" s="76">
        <f>'Womens Data'!AF32</f>
        <v>-0.7142857142857143</v>
      </c>
      <c r="AJ46" s="74"/>
      <c r="AK46" s="74"/>
      <c r="AL46" s="74"/>
      <c r="AM46" s="74"/>
      <c r="AN46" s="74"/>
      <c r="AO46" s="74" t="s">
        <v>9</v>
      </c>
      <c r="AP46" s="73">
        <f>'Womens Data'!J32</f>
        <v>5</v>
      </c>
      <c r="AQ46" s="76">
        <f>'Womens Data'!AG32</f>
        <v>1.5</v>
      </c>
      <c r="AR46" s="74"/>
      <c r="AS46" s="74"/>
      <c r="AT46" s="74"/>
      <c r="AU46" s="74"/>
      <c r="AV46" s="74"/>
      <c r="AW46" s="74" t="s">
        <v>9</v>
      </c>
      <c r="AX46" s="73">
        <f>'Womens Data'!K32</f>
        <v>3</v>
      </c>
      <c r="AY46" s="76">
        <f>'Womens Data'!AH32</f>
        <v>-0.4</v>
      </c>
      <c r="AZ46" s="74"/>
      <c r="BA46" s="74"/>
      <c r="BB46" s="74"/>
      <c r="BC46" s="74"/>
      <c r="BD46" s="74"/>
      <c r="BE46" s="74"/>
      <c r="BF46" s="74" t="s">
        <v>9</v>
      </c>
      <c r="BG46" s="73">
        <f>'Womens Data'!L32</f>
        <v>6</v>
      </c>
      <c r="BH46" s="76">
        <f>'Womens Data'!AI32</f>
        <v>1</v>
      </c>
      <c r="BI46" s="76"/>
      <c r="BJ46" s="74"/>
      <c r="BK46" s="74"/>
      <c r="BL46" s="74"/>
      <c r="BM46" s="74"/>
      <c r="BN46" s="74" t="s">
        <v>9</v>
      </c>
      <c r="BO46" s="73">
        <f>'Womens Data'!M32</f>
        <v>7</v>
      </c>
      <c r="BP46" s="76">
        <f>'Womens Data'!AJ32</f>
        <v>0.16666666666666666</v>
      </c>
      <c r="BQ46" s="74"/>
      <c r="BR46" s="74"/>
      <c r="BS46" s="74"/>
      <c r="BT46" s="74"/>
      <c r="BU46" s="74" t="s">
        <v>9</v>
      </c>
      <c r="BV46" s="73">
        <f>'Womens Data'!N32</f>
        <v>8</v>
      </c>
      <c r="BW46" s="76">
        <f>'Womens Data'!AK32</f>
        <v>0.14285714285714285</v>
      </c>
      <c r="BX46" s="74"/>
      <c r="BY46" s="74"/>
      <c r="BZ46" s="74"/>
      <c r="CA46" s="74"/>
      <c r="CB46" s="74"/>
      <c r="CC46" s="74" t="s">
        <v>9</v>
      </c>
      <c r="CD46" s="73">
        <f>'Womens Data'!O32</f>
        <v>9</v>
      </c>
      <c r="CE46" s="76">
        <f>'Womens Data'!AL32</f>
        <v>0.125</v>
      </c>
      <c r="CF46" s="74"/>
      <c r="CG46" s="74"/>
      <c r="CH46" s="74"/>
      <c r="CI46" s="74"/>
      <c r="CJ46" s="74"/>
      <c r="CK46" s="74" t="s">
        <v>9</v>
      </c>
      <c r="CL46" s="73">
        <f>'Womens Data'!P32</f>
        <v>8</v>
      </c>
      <c r="CM46" s="76">
        <f>'Womens Data'!AM32</f>
        <v>-0.1111111111111111</v>
      </c>
      <c r="CN46" s="74"/>
      <c r="CO46" s="74"/>
      <c r="CP46" s="74"/>
      <c r="CQ46" s="74"/>
      <c r="CR46" s="74"/>
      <c r="CS46" s="74" t="s">
        <v>9</v>
      </c>
      <c r="CT46" s="73">
        <f>'Womens Data'!Q32</f>
        <v>4</v>
      </c>
      <c r="CU46" s="76">
        <f>'Womens Data'!AN32</f>
        <v>-0.5</v>
      </c>
      <c r="CV46" s="74"/>
    </row>
    <row r="47" spans="1:100">
      <c r="A47" s="74"/>
      <c r="B47" s="74" t="s">
        <v>30</v>
      </c>
      <c r="C47" s="73">
        <f>'Womens Data'!E33</f>
        <v>4</v>
      </c>
      <c r="D47" s="76">
        <f>'Womens Data'!AB33</f>
        <v>0.33333333333333331</v>
      </c>
      <c r="E47" s="76"/>
      <c r="F47" s="74"/>
      <c r="G47" s="74"/>
      <c r="H47" s="74"/>
      <c r="I47" s="74"/>
      <c r="J47" s="74" t="s">
        <v>30</v>
      </c>
      <c r="K47" s="73">
        <f>'Womens Data'!F33</f>
        <v>12</v>
      </c>
      <c r="L47" s="76">
        <f>'Womens Data'!AC33</f>
        <v>2</v>
      </c>
      <c r="M47" s="74"/>
      <c r="N47" s="74"/>
      <c r="O47" s="74"/>
      <c r="P47" s="74"/>
      <c r="Q47" s="74" t="s">
        <v>30</v>
      </c>
      <c r="R47" s="73">
        <f>'Womens Data'!G33</f>
        <v>5</v>
      </c>
      <c r="S47" s="76">
        <f>'Womens Data'!AD33</f>
        <v>-0.58333333333333337</v>
      </c>
      <c r="T47" s="74"/>
      <c r="U47" s="74"/>
      <c r="V47" s="74"/>
      <c r="W47" s="74"/>
      <c r="X47" s="74"/>
      <c r="Y47" s="74" t="s">
        <v>30</v>
      </c>
      <c r="Z47" s="73">
        <f>'Womens Data'!H33</f>
        <v>7</v>
      </c>
      <c r="AA47" s="76">
        <f>'Womens Data'!AE33</f>
        <v>0.4</v>
      </c>
      <c r="AB47" s="74"/>
      <c r="AC47" s="74"/>
      <c r="AD47" s="74"/>
      <c r="AE47" s="74"/>
      <c r="AF47" s="74"/>
      <c r="AG47" s="74" t="s">
        <v>30</v>
      </c>
      <c r="AH47" s="73">
        <f>'Womens Data'!I33</f>
        <v>2</v>
      </c>
      <c r="AI47" s="76">
        <f>'Womens Data'!AF33</f>
        <v>-0.7142857142857143</v>
      </c>
      <c r="AJ47" s="74"/>
      <c r="AK47" s="74"/>
      <c r="AL47" s="74"/>
      <c r="AM47" s="74"/>
      <c r="AN47" s="74"/>
      <c r="AO47" s="74" t="s">
        <v>30</v>
      </c>
      <c r="AP47" s="73">
        <f>'Womens Data'!J33</f>
        <v>5</v>
      </c>
      <c r="AQ47" s="76">
        <f>'Womens Data'!AG33</f>
        <v>1.5</v>
      </c>
      <c r="AR47" s="74"/>
      <c r="AS47" s="74"/>
      <c r="AT47" s="74"/>
      <c r="AU47" s="74"/>
      <c r="AV47" s="74"/>
      <c r="AW47" s="74" t="s">
        <v>30</v>
      </c>
      <c r="AX47" s="73">
        <f>'Womens Data'!K33</f>
        <v>3</v>
      </c>
      <c r="AY47" s="76">
        <f>'Womens Data'!AH33</f>
        <v>-0.4</v>
      </c>
      <c r="AZ47" s="74"/>
      <c r="BA47" s="74"/>
      <c r="BB47" s="74"/>
      <c r="BC47" s="74"/>
      <c r="BD47" s="74"/>
      <c r="BE47" s="74"/>
      <c r="BF47" s="74" t="s">
        <v>30</v>
      </c>
      <c r="BG47" s="73">
        <f>'Womens Data'!L33</f>
        <v>6</v>
      </c>
      <c r="BH47" s="76">
        <f>'Womens Data'!AI33</f>
        <v>1</v>
      </c>
      <c r="BI47" s="76"/>
      <c r="BJ47" s="74"/>
      <c r="BK47" s="74"/>
      <c r="BL47" s="74"/>
      <c r="BM47" s="74"/>
      <c r="BN47" s="74" t="s">
        <v>30</v>
      </c>
      <c r="BO47" s="73">
        <f>'Womens Data'!M33</f>
        <v>7</v>
      </c>
      <c r="BP47" s="76">
        <f>'Womens Data'!AJ33</f>
        <v>0.16666666666666666</v>
      </c>
      <c r="BQ47" s="74"/>
      <c r="BR47" s="74"/>
      <c r="BS47" s="74"/>
      <c r="BT47" s="74"/>
      <c r="BU47" s="74" t="s">
        <v>30</v>
      </c>
      <c r="BV47" s="73">
        <f>'Womens Data'!N33</f>
        <v>8</v>
      </c>
      <c r="BW47" s="76">
        <f>'Womens Data'!AK33</f>
        <v>0.14285714285714285</v>
      </c>
      <c r="BX47" s="74"/>
      <c r="BY47" s="74"/>
      <c r="BZ47" s="74"/>
      <c r="CA47" s="74"/>
      <c r="CB47" s="74"/>
      <c r="CC47" s="74" t="s">
        <v>30</v>
      </c>
      <c r="CD47" s="73">
        <f>'Womens Data'!O33</f>
        <v>9</v>
      </c>
      <c r="CE47" s="76">
        <f>'Womens Data'!AL33</f>
        <v>0.125</v>
      </c>
      <c r="CF47" s="74"/>
      <c r="CG47" s="74"/>
      <c r="CH47" s="74"/>
      <c r="CI47" s="74"/>
      <c r="CJ47" s="74"/>
      <c r="CK47" s="74" t="s">
        <v>30</v>
      </c>
      <c r="CL47" s="73">
        <f>'Womens Data'!P33</f>
        <v>8</v>
      </c>
      <c r="CM47" s="76">
        <f>'Womens Data'!AM33</f>
        <v>-0.1111111111111111</v>
      </c>
      <c r="CN47" s="74"/>
      <c r="CO47" s="74"/>
      <c r="CP47" s="74"/>
      <c r="CQ47" s="74"/>
      <c r="CR47" s="74"/>
      <c r="CS47" s="74" t="s">
        <v>30</v>
      </c>
      <c r="CT47" s="73">
        <f>'Womens Data'!Q33</f>
        <v>4</v>
      </c>
      <c r="CU47" s="76">
        <f>'Womens Data'!AN33</f>
        <v>-0.5</v>
      </c>
      <c r="CV47" s="74"/>
    </row>
    <row r="48" spans="1:100">
      <c r="A48" s="74"/>
      <c r="B48" s="74" t="s">
        <v>22</v>
      </c>
      <c r="C48" s="73">
        <f>'Womens Data'!E34</f>
        <v>4</v>
      </c>
      <c r="D48" s="76">
        <f>'Womens Data'!AB34</f>
        <v>0.33333333333333331</v>
      </c>
      <c r="E48" s="76"/>
      <c r="F48" s="74"/>
      <c r="G48" s="74"/>
      <c r="H48" s="74"/>
      <c r="I48" s="74"/>
      <c r="J48" s="74" t="s">
        <v>22</v>
      </c>
      <c r="K48" s="73">
        <f>'Womens Data'!F34</f>
        <v>12</v>
      </c>
      <c r="L48" s="76">
        <f>'Womens Data'!AC34</f>
        <v>2</v>
      </c>
      <c r="M48" s="74"/>
      <c r="N48" s="74"/>
      <c r="O48" s="74"/>
      <c r="P48" s="74"/>
      <c r="Q48" s="74" t="s">
        <v>22</v>
      </c>
      <c r="R48" s="73">
        <f>'Womens Data'!G34</f>
        <v>5</v>
      </c>
      <c r="S48" s="76">
        <f>'Womens Data'!AD34</f>
        <v>-0.58333333333333337</v>
      </c>
      <c r="T48" s="74"/>
      <c r="U48" s="74"/>
      <c r="V48" s="74"/>
      <c r="W48" s="74"/>
      <c r="X48" s="74"/>
      <c r="Y48" s="74" t="s">
        <v>22</v>
      </c>
      <c r="Z48" s="73">
        <f>'Womens Data'!H34</f>
        <v>7</v>
      </c>
      <c r="AA48" s="76">
        <f>'Womens Data'!AE34</f>
        <v>0.4</v>
      </c>
      <c r="AB48" s="74"/>
      <c r="AC48" s="74"/>
      <c r="AD48" s="74"/>
      <c r="AE48" s="74"/>
      <c r="AF48" s="74"/>
      <c r="AG48" s="74" t="s">
        <v>22</v>
      </c>
      <c r="AH48" s="73">
        <f>'Womens Data'!I34</f>
        <v>2</v>
      </c>
      <c r="AI48" s="76">
        <f>'Womens Data'!AF34</f>
        <v>-0.7142857142857143</v>
      </c>
      <c r="AJ48" s="74"/>
      <c r="AK48" s="74"/>
      <c r="AL48" s="74"/>
      <c r="AM48" s="74"/>
      <c r="AN48" s="74"/>
      <c r="AO48" s="74" t="s">
        <v>22</v>
      </c>
      <c r="AP48" s="73">
        <f>'Womens Data'!J34</f>
        <v>5</v>
      </c>
      <c r="AQ48" s="76">
        <f>'Womens Data'!AG34</f>
        <v>1.5</v>
      </c>
      <c r="AR48" s="74"/>
      <c r="AS48" s="74"/>
      <c r="AT48" s="74"/>
      <c r="AU48" s="74"/>
      <c r="AV48" s="74"/>
      <c r="AW48" s="74" t="s">
        <v>22</v>
      </c>
      <c r="AX48" s="73">
        <f>'Womens Data'!K34</f>
        <v>3</v>
      </c>
      <c r="AY48" s="76">
        <f>'Womens Data'!AH34</f>
        <v>-0.4</v>
      </c>
      <c r="AZ48" s="74"/>
      <c r="BA48" s="74"/>
      <c r="BB48" s="74"/>
      <c r="BC48" s="74"/>
      <c r="BD48" s="74"/>
      <c r="BE48" s="74"/>
      <c r="BF48" s="74" t="s">
        <v>22</v>
      </c>
      <c r="BG48" s="73">
        <f>'Womens Data'!L34</f>
        <v>6</v>
      </c>
      <c r="BH48" s="76">
        <f>'Womens Data'!AI34</f>
        <v>1</v>
      </c>
      <c r="BI48" s="76"/>
      <c r="BJ48" s="74"/>
      <c r="BK48" s="74"/>
      <c r="BL48" s="74"/>
      <c r="BM48" s="74"/>
      <c r="BN48" s="74" t="s">
        <v>22</v>
      </c>
      <c r="BO48" s="73">
        <f>'Womens Data'!M34</f>
        <v>7</v>
      </c>
      <c r="BP48" s="76">
        <f>'Womens Data'!AJ34</f>
        <v>0.16666666666666666</v>
      </c>
      <c r="BQ48" s="74"/>
      <c r="BR48" s="74"/>
      <c r="BS48" s="74"/>
      <c r="BT48" s="74"/>
      <c r="BU48" s="74" t="s">
        <v>22</v>
      </c>
      <c r="BV48" s="73">
        <f>'Womens Data'!N34</f>
        <v>8</v>
      </c>
      <c r="BW48" s="76">
        <f>'Womens Data'!AK34</f>
        <v>0.14285714285714285</v>
      </c>
      <c r="BX48" s="74"/>
      <c r="BY48" s="74"/>
      <c r="BZ48" s="74"/>
      <c r="CA48" s="74"/>
      <c r="CB48" s="74"/>
      <c r="CC48" s="74" t="s">
        <v>22</v>
      </c>
      <c r="CD48" s="73">
        <f>'Womens Data'!O34</f>
        <v>9</v>
      </c>
      <c r="CE48" s="76">
        <f>'Womens Data'!AL34</f>
        <v>0.125</v>
      </c>
      <c r="CF48" s="74"/>
      <c r="CG48" s="74"/>
      <c r="CH48" s="74"/>
      <c r="CI48" s="74"/>
      <c r="CJ48" s="74"/>
      <c r="CK48" s="74" t="s">
        <v>22</v>
      </c>
      <c r="CL48" s="73">
        <f>'Womens Data'!P34</f>
        <v>8</v>
      </c>
      <c r="CM48" s="76">
        <f>'Womens Data'!AM34</f>
        <v>-0.1111111111111111</v>
      </c>
      <c r="CN48" s="74"/>
      <c r="CO48" s="74"/>
      <c r="CP48" s="74"/>
      <c r="CQ48" s="74"/>
      <c r="CR48" s="74"/>
      <c r="CS48" s="74" t="s">
        <v>22</v>
      </c>
      <c r="CT48" s="73">
        <f>'Womens Data'!Q34</f>
        <v>4</v>
      </c>
      <c r="CU48" s="76">
        <f>'Womens Data'!AN34</f>
        <v>-0.5</v>
      </c>
      <c r="CV48" s="74"/>
    </row>
    <row r="49" spans="1:100">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c r="CG49" s="74"/>
      <c r="CH49" s="74"/>
      <c r="CI49" s="74"/>
      <c r="CJ49" s="74"/>
      <c r="CK49" s="74"/>
      <c r="CL49" s="74"/>
      <c r="CM49" s="74"/>
      <c r="CN49" s="74"/>
      <c r="CO49" s="74"/>
      <c r="CP49" s="74"/>
      <c r="CQ49" s="74"/>
      <c r="CR49" s="74"/>
      <c r="CS49" s="74"/>
      <c r="CT49" s="74"/>
      <c r="CU49" s="74"/>
      <c r="CV49" s="74"/>
    </row>
    <row r="68" spans="32:32">
      <c r="AF68" s="1" t="s">
        <v>76</v>
      </c>
    </row>
  </sheetData>
  <sheetProtection algorithmName="SHA-512" hashValue="R161Y5YugdlnrZG9esTcldbeM8GxCC3fFe0dd/F2gNEK18Or9TRjwBaPOvqNKxglGeIV7dXXbXii5ynUTSJgsw==" saltValue="r7+mP1dIIciaRBSzWFQPhQ==" spinCount="100000" sheet="1" objects="1" scenarios="1" selectLockedCells="1" selectUnlockedCells="1"/>
  <mergeCells count="6">
    <mergeCell ref="BT1:BU1"/>
    <mergeCell ref="A1:B1"/>
    <mergeCell ref="I1:J1"/>
    <mergeCell ref="P1:Q1"/>
    <mergeCell ref="BE1:BF1"/>
    <mergeCell ref="BM1:BN1"/>
  </mergeCells>
  <conditionalFormatting sqref="D4:E14">
    <cfRule type="dataBar" priority="263">
      <dataBar>
        <cfvo type="min"/>
        <cfvo type="max"/>
        <color rgb="FF63C384"/>
      </dataBar>
      <extLst>
        <ext xmlns:x14="http://schemas.microsoft.com/office/spreadsheetml/2009/9/main" uri="{B025F937-C7B1-47D3-B67F-A62EFF666E3E}">
          <x14:id>{76843C3B-9B44-480F-908F-8B2B3FE12218}</x14:id>
        </ext>
      </extLst>
    </cfRule>
  </conditionalFormatting>
  <conditionalFormatting sqref="D18:E23">
    <cfRule type="dataBar" priority="262">
      <dataBar>
        <cfvo type="min"/>
        <cfvo type="max"/>
        <color rgb="FF63C384"/>
      </dataBar>
      <extLst>
        <ext xmlns:x14="http://schemas.microsoft.com/office/spreadsheetml/2009/9/main" uri="{B025F937-C7B1-47D3-B67F-A62EFF666E3E}">
          <x14:id>{D0B7EF49-5B4E-421B-A0F6-4F53EF172717}</x14:id>
        </ext>
      </extLst>
    </cfRule>
  </conditionalFormatting>
  <conditionalFormatting sqref="D27:E31">
    <cfRule type="dataBar" priority="261">
      <dataBar>
        <cfvo type="min"/>
        <cfvo type="max"/>
        <color rgb="FF63C384"/>
      </dataBar>
      <extLst>
        <ext xmlns:x14="http://schemas.microsoft.com/office/spreadsheetml/2009/9/main" uri="{B025F937-C7B1-47D3-B67F-A62EFF666E3E}">
          <x14:id>{2B186002-7923-4976-B339-9D2C1F809FAE}</x14:id>
        </ext>
      </extLst>
    </cfRule>
  </conditionalFormatting>
  <conditionalFormatting sqref="D34:E35">
    <cfRule type="dataBar" priority="260">
      <dataBar>
        <cfvo type="min"/>
        <cfvo type="max"/>
        <color rgb="FF63C384"/>
      </dataBar>
      <extLst>
        <ext xmlns:x14="http://schemas.microsoft.com/office/spreadsheetml/2009/9/main" uri="{B025F937-C7B1-47D3-B67F-A62EFF666E3E}">
          <x14:id>{E4F72880-409E-4A94-827F-E6EBE8F3D9E8}</x14:id>
        </ext>
      </extLst>
    </cfRule>
  </conditionalFormatting>
  <conditionalFormatting sqref="D39:E42">
    <cfRule type="dataBar" priority="259">
      <dataBar>
        <cfvo type="min"/>
        <cfvo type="max"/>
        <color rgb="FF63C384"/>
      </dataBar>
      <extLst>
        <ext xmlns:x14="http://schemas.microsoft.com/office/spreadsheetml/2009/9/main" uri="{B025F937-C7B1-47D3-B67F-A62EFF666E3E}">
          <x14:id>{DB9807C1-9D14-47B4-AFEF-9BBA9955E546}</x14:id>
        </ext>
      </extLst>
    </cfRule>
  </conditionalFormatting>
  <conditionalFormatting sqref="D46:E48">
    <cfRule type="dataBar" priority="258">
      <dataBar>
        <cfvo type="min"/>
        <cfvo type="max"/>
        <color rgb="FF63C384"/>
      </dataBar>
      <extLst>
        <ext xmlns:x14="http://schemas.microsoft.com/office/spreadsheetml/2009/9/main" uri="{B025F937-C7B1-47D3-B67F-A62EFF666E3E}">
          <x14:id>{71019CC3-D4F8-4161-BF5C-3A680AA4DBF6}</x14:id>
        </ext>
      </extLst>
    </cfRule>
  </conditionalFormatting>
  <conditionalFormatting sqref="L4">
    <cfRule type="dataBar" priority="257">
      <dataBar>
        <cfvo type="min"/>
        <cfvo type="max"/>
        <color rgb="FF63C384"/>
      </dataBar>
      <extLst>
        <ext xmlns:x14="http://schemas.microsoft.com/office/spreadsheetml/2009/9/main" uri="{B025F937-C7B1-47D3-B67F-A62EFF666E3E}">
          <x14:id>{DAEAC4F7-C152-4216-8745-C4B44EF6D35D}</x14:id>
        </ext>
      </extLst>
    </cfRule>
  </conditionalFormatting>
  <conditionalFormatting sqref="L4:L14">
    <cfRule type="dataBar" priority="251">
      <dataBar>
        <cfvo type="min"/>
        <cfvo type="max"/>
        <color rgb="FF63C384"/>
      </dataBar>
      <extLst>
        <ext xmlns:x14="http://schemas.microsoft.com/office/spreadsheetml/2009/9/main" uri="{B025F937-C7B1-47D3-B67F-A62EFF666E3E}">
          <x14:id>{6052AF39-F71E-49A3-A134-967A53F8E1EA}</x14:id>
        </ext>
      </extLst>
    </cfRule>
  </conditionalFormatting>
  <conditionalFormatting sqref="L5:L14">
    <cfRule type="dataBar" priority="269">
      <dataBar>
        <cfvo type="min"/>
        <cfvo type="max"/>
        <color rgb="FF63C384"/>
      </dataBar>
      <extLst>
        <ext xmlns:x14="http://schemas.microsoft.com/office/spreadsheetml/2009/9/main" uri="{B025F937-C7B1-47D3-B67F-A62EFF666E3E}">
          <x14:id>{D0B45548-7A31-49D2-8AEF-634350AD1FAA}</x14:id>
        </ext>
      </extLst>
    </cfRule>
  </conditionalFormatting>
  <conditionalFormatting sqref="L18">
    <cfRule type="dataBar" priority="256">
      <dataBar>
        <cfvo type="min"/>
        <cfvo type="max"/>
        <color rgb="FF63C384"/>
      </dataBar>
      <extLst>
        <ext xmlns:x14="http://schemas.microsoft.com/office/spreadsheetml/2009/9/main" uri="{B025F937-C7B1-47D3-B67F-A62EFF666E3E}">
          <x14:id>{95B6F031-64F8-4994-A101-0CD1A60D4F7E}</x14:id>
        </ext>
      </extLst>
    </cfRule>
  </conditionalFormatting>
  <conditionalFormatting sqref="L18:L23">
    <cfRule type="dataBar" priority="250">
      <dataBar>
        <cfvo type="min"/>
        <cfvo type="max"/>
        <color rgb="FF63C384"/>
      </dataBar>
      <extLst>
        <ext xmlns:x14="http://schemas.microsoft.com/office/spreadsheetml/2009/9/main" uri="{B025F937-C7B1-47D3-B67F-A62EFF666E3E}">
          <x14:id>{C68B2963-2319-4A0D-B4BB-543C3BD1B525}</x14:id>
        </ext>
      </extLst>
    </cfRule>
  </conditionalFormatting>
  <conditionalFormatting sqref="L19:L23">
    <cfRule type="dataBar" priority="268">
      <dataBar>
        <cfvo type="min"/>
        <cfvo type="max"/>
        <color rgb="FF63C384"/>
      </dataBar>
      <extLst>
        <ext xmlns:x14="http://schemas.microsoft.com/office/spreadsheetml/2009/9/main" uri="{B025F937-C7B1-47D3-B67F-A62EFF666E3E}">
          <x14:id>{5DE0D3D4-2787-460A-A2ED-CEEC2335EEC9}</x14:id>
        </ext>
      </extLst>
    </cfRule>
  </conditionalFormatting>
  <conditionalFormatting sqref="L27">
    <cfRule type="dataBar" priority="255">
      <dataBar>
        <cfvo type="min"/>
        <cfvo type="max"/>
        <color rgb="FF63C384"/>
      </dataBar>
      <extLst>
        <ext xmlns:x14="http://schemas.microsoft.com/office/spreadsheetml/2009/9/main" uri="{B025F937-C7B1-47D3-B67F-A62EFF666E3E}">
          <x14:id>{046CC2B7-282C-45DA-A28B-597380E53067}</x14:id>
        </ext>
      </extLst>
    </cfRule>
  </conditionalFormatting>
  <conditionalFormatting sqref="L27:L30">
    <cfRule type="dataBar" priority="249">
      <dataBar>
        <cfvo type="min"/>
        <cfvo type="max"/>
        <color rgb="FF63C384"/>
      </dataBar>
      <extLst>
        <ext xmlns:x14="http://schemas.microsoft.com/office/spreadsheetml/2009/9/main" uri="{B025F937-C7B1-47D3-B67F-A62EFF666E3E}">
          <x14:id>{54CCD6E1-6D6E-438E-83CB-01184348D414}</x14:id>
        </ext>
      </extLst>
    </cfRule>
  </conditionalFormatting>
  <conditionalFormatting sqref="L28:L31">
    <cfRule type="dataBar" priority="267">
      <dataBar>
        <cfvo type="min"/>
        <cfvo type="max"/>
        <color rgb="FF63C384"/>
      </dataBar>
      <extLst>
        <ext xmlns:x14="http://schemas.microsoft.com/office/spreadsheetml/2009/9/main" uri="{B025F937-C7B1-47D3-B67F-A62EFF666E3E}">
          <x14:id>{2ED5C453-91A1-4602-8349-D356B2827F8D}</x14:id>
        </ext>
      </extLst>
    </cfRule>
  </conditionalFormatting>
  <conditionalFormatting sqref="L34">
    <cfRule type="dataBar" priority="254">
      <dataBar>
        <cfvo type="min"/>
        <cfvo type="max"/>
        <color rgb="FF63C384"/>
      </dataBar>
      <extLst>
        <ext xmlns:x14="http://schemas.microsoft.com/office/spreadsheetml/2009/9/main" uri="{B025F937-C7B1-47D3-B67F-A62EFF666E3E}">
          <x14:id>{7778E947-B6A3-49D9-A4EA-5F75B635446D}</x14:id>
        </ext>
      </extLst>
    </cfRule>
  </conditionalFormatting>
  <conditionalFormatting sqref="L34:L35">
    <cfRule type="dataBar" priority="248">
      <dataBar>
        <cfvo type="min"/>
        <cfvo type="max"/>
        <color rgb="FF63C384"/>
      </dataBar>
      <extLst>
        <ext xmlns:x14="http://schemas.microsoft.com/office/spreadsheetml/2009/9/main" uri="{B025F937-C7B1-47D3-B67F-A62EFF666E3E}">
          <x14:id>{463AEE31-621F-44B4-8266-1143BF29D6CB}</x14:id>
        </ext>
      </extLst>
    </cfRule>
  </conditionalFormatting>
  <conditionalFormatting sqref="L35">
    <cfRule type="dataBar" priority="266">
      <dataBar>
        <cfvo type="min"/>
        <cfvo type="max"/>
        <color rgb="FF63C384"/>
      </dataBar>
      <extLst>
        <ext xmlns:x14="http://schemas.microsoft.com/office/spreadsheetml/2009/9/main" uri="{B025F937-C7B1-47D3-B67F-A62EFF666E3E}">
          <x14:id>{F7ECE512-7685-4B6D-BE38-3C2C15EB443C}</x14:id>
        </ext>
      </extLst>
    </cfRule>
  </conditionalFormatting>
  <conditionalFormatting sqref="L39">
    <cfRule type="dataBar" priority="253">
      <dataBar>
        <cfvo type="min"/>
        <cfvo type="max"/>
        <color rgb="FF63C384"/>
      </dataBar>
      <extLst>
        <ext xmlns:x14="http://schemas.microsoft.com/office/spreadsheetml/2009/9/main" uri="{B025F937-C7B1-47D3-B67F-A62EFF666E3E}">
          <x14:id>{D293F390-FFDB-4625-9CC2-82FAEFB7278B}</x14:id>
        </ext>
      </extLst>
    </cfRule>
  </conditionalFormatting>
  <conditionalFormatting sqref="L39:L42">
    <cfRule type="dataBar" priority="247">
      <dataBar>
        <cfvo type="min"/>
        <cfvo type="max"/>
        <color rgb="FF63C384"/>
      </dataBar>
      <extLst>
        <ext xmlns:x14="http://schemas.microsoft.com/office/spreadsheetml/2009/9/main" uri="{B025F937-C7B1-47D3-B67F-A62EFF666E3E}">
          <x14:id>{24F92B62-7E94-4949-A848-B5C5AB73B8A2}</x14:id>
        </ext>
      </extLst>
    </cfRule>
  </conditionalFormatting>
  <conditionalFormatting sqref="L40:L42">
    <cfRule type="dataBar" priority="265">
      <dataBar>
        <cfvo type="min"/>
        <cfvo type="max"/>
        <color rgb="FF63C384"/>
      </dataBar>
      <extLst>
        <ext xmlns:x14="http://schemas.microsoft.com/office/spreadsheetml/2009/9/main" uri="{B025F937-C7B1-47D3-B67F-A62EFF666E3E}">
          <x14:id>{94B0512A-FA6E-4E49-8F22-E872C597C091}</x14:id>
        </ext>
      </extLst>
    </cfRule>
  </conditionalFormatting>
  <conditionalFormatting sqref="L46">
    <cfRule type="dataBar" priority="252">
      <dataBar>
        <cfvo type="min"/>
        <cfvo type="max"/>
        <color rgb="FF63C384"/>
      </dataBar>
      <extLst>
        <ext xmlns:x14="http://schemas.microsoft.com/office/spreadsheetml/2009/9/main" uri="{B025F937-C7B1-47D3-B67F-A62EFF666E3E}">
          <x14:id>{F0CC49B0-A51E-4B12-821F-1D6DB53D0643}</x14:id>
        </ext>
      </extLst>
    </cfRule>
  </conditionalFormatting>
  <conditionalFormatting sqref="L46:L48">
    <cfRule type="dataBar" priority="246">
      <dataBar>
        <cfvo type="min"/>
        <cfvo type="max"/>
        <color rgb="FF63C384"/>
      </dataBar>
      <extLst>
        <ext xmlns:x14="http://schemas.microsoft.com/office/spreadsheetml/2009/9/main" uri="{B025F937-C7B1-47D3-B67F-A62EFF666E3E}">
          <x14:id>{5E8AE35A-45B6-4024-9019-F4FF841F87C0}</x14:id>
        </ext>
      </extLst>
    </cfRule>
  </conditionalFormatting>
  <conditionalFormatting sqref="L47:L48">
    <cfRule type="dataBar" priority="264">
      <dataBar>
        <cfvo type="min"/>
        <cfvo type="max"/>
        <color rgb="FF63C384"/>
      </dataBar>
      <extLst>
        <ext xmlns:x14="http://schemas.microsoft.com/office/spreadsheetml/2009/9/main" uri="{B025F937-C7B1-47D3-B67F-A62EFF666E3E}">
          <x14:id>{71196E54-900F-4F96-A9E0-9B10E7520176}</x14:id>
        </ext>
      </extLst>
    </cfRule>
  </conditionalFormatting>
  <conditionalFormatting sqref="S4">
    <cfRule type="dataBar" priority="239">
      <dataBar>
        <cfvo type="min"/>
        <cfvo type="max"/>
        <color rgb="FF63C384"/>
      </dataBar>
      <extLst>
        <ext xmlns:x14="http://schemas.microsoft.com/office/spreadsheetml/2009/9/main" uri="{B025F937-C7B1-47D3-B67F-A62EFF666E3E}">
          <x14:id>{A4FEA914-D12D-4D21-9045-40B33CB9ADAC}</x14:id>
        </ext>
      </extLst>
    </cfRule>
  </conditionalFormatting>
  <conditionalFormatting sqref="S4:S14">
    <cfRule type="dataBar" priority="233">
      <dataBar>
        <cfvo type="min"/>
        <cfvo type="max"/>
        <color rgb="FF63C384"/>
      </dataBar>
      <extLst>
        <ext xmlns:x14="http://schemas.microsoft.com/office/spreadsheetml/2009/9/main" uri="{B025F937-C7B1-47D3-B67F-A62EFF666E3E}">
          <x14:id>{07D167E8-6D13-4B11-8FA2-E5BBCEB59D9A}</x14:id>
        </ext>
      </extLst>
    </cfRule>
  </conditionalFormatting>
  <conditionalFormatting sqref="S5:S14">
    <cfRule type="dataBar" priority="245">
      <dataBar>
        <cfvo type="min"/>
        <cfvo type="max"/>
        <color rgb="FF63C384"/>
      </dataBar>
      <extLst>
        <ext xmlns:x14="http://schemas.microsoft.com/office/spreadsheetml/2009/9/main" uri="{B025F937-C7B1-47D3-B67F-A62EFF666E3E}">
          <x14:id>{F2003820-7D4A-47D1-B5AE-F5D26F834690}</x14:id>
        </ext>
      </extLst>
    </cfRule>
  </conditionalFormatting>
  <conditionalFormatting sqref="S18">
    <cfRule type="dataBar" priority="238">
      <dataBar>
        <cfvo type="min"/>
        <cfvo type="max"/>
        <color rgb="FF63C384"/>
      </dataBar>
      <extLst>
        <ext xmlns:x14="http://schemas.microsoft.com/office/spreadsheetml/2009/9/main" uri="{B025F937-C7B1-47D3-B67F-A62EFF666E3E}">
          <x14:id>{94B2EEF6-FF29-4B5B-BE46-D7A38300DD98}</x14:id>
        </ext>
      </extLst>
    </cfRule>
  </conditionalFormatting>
  <conditionalFormatting sqref="S18:S23">
    <cfRule type="dataBar" priority="232">
      <dataBar>
        <cfvo type="min"/>
        <cfvo type="max"/>
        <color rgb="FF63C384"/>
      </dataBar>
      <extLst>
        <ext xmlns:x14="http://schemas.microsoft.com/office/spreadsheetml/2009/9/main" uri="{B025F937-C7B1-47D3-B67F-A62EFF666E3E}">
          <x14:id>{9F80AB95-D470-45AF-B9C4-79C82AFFAD33}</x14:id>
        </ext>
      </extLst>
    </cfRule>
  </conditionalFormatting>
  <conditionalFormatting sqref="S19:S23">
    <cfRule type="dataBar" priority="244">
      <dataBar>
        <cfvo type="min"/>
        <cfvo type="max"/>
        <color rgb="FF63C384"/>
      </dataBar>
      <extLst>
        <ext xmlns:x14="http://schemas.microsoft.com/office/spreadsheetml/2009/9/main" uri="{B025F937-C7B1-47D3-B67F-A62EFF666E3E}">
          <x14:id>{DC8BAEC0-FDE4-440B-83DF-5AFB44519E36}</x14:id>
        </ext>
      </extLst>
    </cfRule>
  </conditionalFormatting>
  <conditionalFormatting sqref="S27">
    <cfRule type="dataBar" priority="237">
      <dataBar>
        <cfvo type="min"/>
        <cfvo type="max"/>
        <color rgb="FF63C384"/>
      </dataBar>
      <extLst>
        <ext xmlns:x14="http://schemas.microsoft.com/office/spreadsheetml/2009/9/main" uri="{B025F937-C7B1-47D3-B67F-A62EFF666E3E}">
          <x14:id>{7CF3E2C2-A6EC-473F-B571-7300A78C7C75}</x14:id>
        </ext>
      </extLst>
    </cfRule>
  </conditionalFormatting>
  <conditionalFormatting sqref="S27:S30">
    <cfRule type="dataBar" priority="231">
      <dataBar>
        <cfvo type="min"/>
        <cfvo type="max"/>
        <color rgb="FF63C384"/>
      </dataBar>
      <extLst>
        <ext xmlns:x14="http://schemas.microsoft.com/office/spreadsheetml/2009/9/main" uri="{B025F937-C7B1-47D3-B67F-A62EFF666E3E}">
          <x14:id>{FE7640F8-C2B3-4AD2-A010-C839E16B2F3F}</x14:id>
        </ext>
      </extLst>
    </cfRule>
  </conditionalFormatting>
  <conditionalFormatting sqref="S28:S31">
    <cfRule type="dataBar" priority="243">
      <dataBar>
        <cfvo type="min"/>
        <cfvo type="max"/>
        <color rgb="FF63C384"/>
      </dataBar>
      <extLst>
        <ext xmlns:x14="http://schemas.microsoft.com/office/spreadsheetml/2009/9/main" uri="{B025F937-C7B1-47D3-B67F-A62EFF666E3E}">
          <x14:id>{D00C4AA1-B5A8-4074-98BE-93373572DD65}</x14:id>
        </ext>
      </extLst>
    </cfRule>
  </conditionalFormatting>
  <conditionalFormatting sqref="S34">
    <cfRule type="dataBar" priority="236">
      <dataBar>
        <cfvo type="min"/>
        <cfvo type="max"/>
        <color rgb="FF63C384"/>
      </dataBar>
      <extLst>
        <ext xmlns:x14="http://schemas.microsoft.com/office/spreadsheetml/2009/9/main" uri="{B025F937-C7B1-47D3-B67F-A62EFF666E3E}">
          <x14:id>{4C20178A-8822-4F71-95A2-825E4912D916}</x14:id>
        </ext>
      </extLst>
    </cfRule>
  </conditionalFormatting>
  <conditionalFormatting sqref="S34:S35">
    <cfRule type="dataBar" priority="230">
      <dataBar>
        <cfvo type="min"/>
        <cfvo type="max"/>
        <color rgb="FF63C384"/>
      </dataBar>
      <extLst>
        <ext xmlns:x14="http://schemas.microsoft.com/office/spreadsheetml/2009/9/main" uri="{B025F937-C7B1-47D3-B67F-A62EFF666E3E}">
          <x14:id>{F26E28AB-5E10-449B-AC78-2CB9DD85AFA1}</x14:id>
        </ext>
      </extLst>
    </cfRule>
  </conditionalFormatting>
  <conditionalFormatting sqref="S35">
    <cfRule type="dataBar" priority="242">
      <dataBar>
        <cfvo type="min"/>
        <cfvo type="max"/>
        <color rgb="FF63C384"/>
      </dataBar>
      <extLst>
        <ext xmlns:x14="http://schemas.microsoft.com/office/spreadsheetml/2009/9/main" uri="{B025F937-C7B1-47D3-B67F-A62EFF666E3E}">
          <x14:id>{401679FD-1576-450A-852D-E29F33CBA855}</x14:id>
        </ext>
      </extLst>
    </cfRule>
  </conditionalFormatting>
  <conditionalFormatting sqref="S39">
    <cfRule type="dataBar" priority="235">
      <dataBar>
        <cfvo type="min"/>
        <cfvo type="max"/>
        <color rgb="FF63C384"/>
      </dataBar>
      <extLst>
        <ext xmlns:x14="http://schemas.microsoft.com/office/spreadsheetml/2009/9/main" uri="{B025F937-C7B1-47D3-B67F-A62EFF666E3E}">
          <x14:id>{6EB9C003-C073-4096-87D9-FC6284DF7A28}</x14:id>
        </ext>
      </extLst>
    </cfRule>
  </conditionalFormatting>
  <conditionalFormatting sqref="S39:S42">
    <cfRule type="dataBar" priority="229">
      <dataBar>
        <cfvo type="min"/>
        <cfvo type="max"/>
        <color rgb="FF63C384"/>
      </dataBar>
      <extLst>
        <ext xmlns:x14="http://schemas.microsoft.com/office/spreadsheetml/2009/9/main" uri="{B025F937-C7B1-47D3-B67F-A62EFF666E3E}">
          <x14:id>{9F48F50A-E4C3-432B-8CDA-F792C48C07F0}</x14:id>
        </ext>
      </extLst>
    </cfRule>
  </conditionalFormatting>
  <conditionalFormatting sqref="S40:S42">
    <cfRule type="dataBar" priority="241">
      <dataBar>
        <cfvo type="min"/>
        <cfvo type="max"/>
        <color rgb="FF63C384"/>
      </dataBar>
      <extLst>
        <ext xmlns:x14="http://schemas.microsoft.com/office/spreadsheetml/2009/9/main" uri="{B025F937-C7B1-47D3-B67F-A62EFF666E3E}">
          <x14:id>{6D066799-6417-4574-8EBB-0D979B97D043}</x14:id>
        </ext>
      </extLst>
    </cfRule>
  </conditionalFormatting>
  <conditionalFormatting sqref="S46">
    <cfRule type="dataBar" priority="234">
      <dataBar>
        <cfvo type="min"/>
        <cfvo type="max"/>
        <color rgb="FF63C384"/>
      </dataBar>
      <extLst>
        <ext xmlns:x14="http://schemas.microsoft.com/office/spreadsheetml/2009/9/main" uri="{B025F937-C7B1-47D3-B67F-A62EFF666E3E}">
          <x14:id>{6738DFC9-B912-47E0-B105-88D07925C3B1}</x14:id>
        </ext>
      </extLst>
    </cfRule>
  </conditionalFormatting>
  <conditionalFormatting sqref="S46:S48">
    <cfRule type="dataBar" priority="228">
      <dataBar>
        <cfvo type="min"/>
        <cfvo type="max"/>
        <color rgb="FF63C384"/>
      </dataBar>
      <extLst>
        <ext xmlns:x14="http://schemas.microsoft.com/office/spreadsheetml/2009/9/main" uri="{B025F937-C7B1-47D3-B67F-A62EFF666E3E}">
          <x14:id>{E57FBE1B-4F8A-41FF-AB86-DEDF9F7EF923}</x14:id>
        </ext>
      </extLst>
    </cfRule>
  </conditionalFormatting>
  <conditionalFormatting sqref="S47:S48">
    <cfRule type="dataBar" priority="240">
      <dataBar>
        <cfvo type="min"/>
        <cfvo type="max"/>
        <color rgb="FF63C384"/>
      </dataBar>
      <extLst>
        <ext xmlns:x14="http://schemas.microsoft.com/office/spreadsheetml/2009/9/main" uri="{B025F937-C7B1-47D3-B67F-A62EFF666E3E}">
          <x14:id>{D14358B9-ADD2-418D-9BB6-64872F8C7A39}</x14:id>
        </ext>
      </extLst>
    </cfRule>
  </conditionalFormatting>
  <conditionalFormatting sqref="AA4">
    <cfRule type="dataBar" priority="181">
      <dataBar>
        <cfvo type="min"/>
        <cfvo type="max"/>
        <color rgb="FF63C384"/>
      </dataBar>
      <extLst>
        <ext xmlns:x14="http://schemas.microsoft.com/office/spreadsheetml/2009/9/main" uri="{B025F937-C7B1-47D3-B67F-A62EFF666E3E}">
          <x14:id>{EC355452-63A6-46E0-BE80-092C8FF2C50C}</x14:id>
        </ext>
      </extLst>
    </cfRule>
    <cfRule type="dataBar" priority="180">
      <dataBar>
        <cfvo type="min"/>
        <cfvo type="max"/>
        <color rgb="FF63C384"/>
      </dataBar>
      <extLst>
        <ext xmlns:x14="http://schemas.microsoft.com/office/spreadsheetml/2009/9/main" uri="{B025F937-C7B1-47D3-B67F-A62EFF666E3E}">
          <x14:id>{D7DAF93A-8FAF-4EE0-9027-9009F7028095}</x14:id>
        </ext>
      </extLst>
    </cfRule>
  </conditionalFormatting>
  <conditionalFormatting sqref="AA5:AA14">
    <cfRule type="dataBar" priority="227">
      <dataBar>
        <cfvo type="min"/>
        <cfvo type="max"/>
        <color rgb="FF63C384"/>
      </dataBar>
      <extLst>
        <ext xmlns:x14="http://schemas.microsoft.com/office/spreadsheetml/2009/9/main" uri="{B025F937-C7B1-47D3-B67F-A62EFF666E3E}">
          <x14:id>{B1B882EF-5486-4DFF-9B53-951E3F872DDE}</x14:id>
        </ext>
      </extLst>
    </cfRule>
    <cfRule type="dataBar" priority="221">
      <dataBar>
        <cfvo type="min"/>
        <cfvo type="max"/>
        <color rgb="FF63C384"/>
      </dataBar>
      <extLst>
        <ext xmlns:x14="http://schemas.microsoft.com/office/spreadsheetml/2009/9/main" uri="{B025F937-C7B1-47D3-B67F-A62EFF666E3E}">
          <x14:id>{0692906E-034A-4934-AF24-91C424920512}</x14:id>
        </ext>
      </extLst>
    </cfRule>
  </conditionalFormatting>
  <conditionalFormatting sqref="AA18">
    <cfRule type="dataBar" priority="179">
      <dataBar>
        <cfvo type="min"/>
        <cfvo type="max"/>
        <color rgb="FF63C384"/>
      </dataBar>
      <extLst>
        <ext xmlns:x14="http://schemas.microsoft.com/office/spreadsheetml/2009/9/main" uri="{B025F937-C7B1-47D3-B67F-A62EFF666E3E}">
          <x14:id>{3F5A7A83-8D20-4545-9B9F-E080A09C83B6}</x14:id>
        </ext>
      </extLst>
    </cfRule>
    <cfRule type="dataBar" priority="178">
      <dataBar>
        <cfvo type="min"/>
        <cfvo type="max"/>
        <color rgb="FF63C384"/>
      </dataBar>
      <extLst>
        <ext xmlns:x14="http://schemas.microsoft.com/office/spreadsheetml/2009/9/main" uri="{B025F937-C7B1-47D3-B67F-A62EFF666E3E}">
          <x14:id>{C832786E-A59D-4111-8846-F6830BC6A59B}</x14:id>
        </ext>
      </extLst>
    </cfRule>
  </conditionalFormatting>
  <conditionalFormatting sqref="AA19:AA23">
    <cfRule type="dataBar" priority="220">
      <dataBar>
        <cfvo type="min"/>
        <cfvo type="max"/>
        <color rgb="FF63C384"/>
      </dataBar>
      <extLst>
        <ext xmlns:x14="http://schemas.microsoft.com/office/spreadsheetml/2009/9/main" uri="{B025F937-C7B1-47D3-B67F-A62EFF666E3E}">
          <x14:id>{64D5E7AF-A5B6-4686-BAE5-5F406DE30633}</x14:id>
        </ext>
      </extLst>
    </cfRule>
    <cfRule type="dataBar" priority="226">
      <dataBar>
        <cfvo type="min"/>
        <cfvo type="max"/>
        <color rgb="FF63C384"/>
      </dataBar>
      <extLst>
        <ext xmlns:x14="http://schemas.microsoft.com/office/spreadsheetml/2009/9/main" uri="{B025F937-C7B1-47D3-B67F-A62EFF666E3E}">
          <x14:id>{5F69FDF9-EB99-4A4D-A21A-252CC15CB590}</x14:id>
        </ext>
      </extLst>
    </cfRule>
  </conditionalFormatting>
  <conditionalFormatting sqref="AA27">
    <cfRule type="dataBar" priority="176">
      <dataBar>
        <cfvo type="min"/>
        <cfvo type="max"/>
        <color rgb="FF63C384"/>
      </dataBar>
      <extLst>
        <ext xmlns:x14="http://schemas.microsoft.com/office/spreadsheetml/2009/9/main" uri="{B025F937-C7B1-47D3-B67F-A62EFF666E3E}">
          <x14:id>{245212D8-B4B1-41B2-A4C3-D6FB6BEB07C9}</x14:id>
        </ext>
      </extLst>
    </cfRule>
    <cfRule type="dataBar" priority="177">
      <dataBar>
        <cfvo type="min"/>
        <cfvo type="max"/>
        <color rgb="FF63C384"/>
      </dataBar>
      <extLst>
        <ext xmlns:x14="http://schemas.microsoft.com/office/spreadsheetml/2009/9/main" uri="{B025F937-C7B1-47D3-B67F-A62EFF666E3E}">
          <x14:id>{AB2738E1-27D4-474D-B98A-DBE42BEE46BF}</x14:id>
        </ext>
      </extLst>
    </cfRule>
  </conditionalFormatting>
  <conditionalFormatting sqref="AA28:AA30">
    <cfRule type="dataBar" priority="219">
      <dataBar>
        <cfvo type="min"/>
        <cfvo type="max"/>
        <color rgb="FF63C384"/>
      </dataBar>
      <extLst>
        <ext xmlns:x14="http://schemas.microsoft.com/office/spreadsheetml/2009/9/main" uri="{B025F937-C7B1-47D3-B67F-A62EFF666E3E}">
          <x14:id>{AE8E75DD-B7D1-4F9D-A2FB-D0A22C172533}</x14:id>
        </ext>
      </extLst>
    </cfRule>
  </conditionalFormatting>
  <conditionalFormatting sqref="AA28:AA31">
    <cfRule type="dataBar" priority="225">
      <dataBar>
        <cfvo type="min"/>
        <cfvo type="max"/>
        <color rgb="FF63C384"/>
      </dataBar>
      <extLst>
        <ext xmlns:x14="http://schemas.microsoft.com/office/spreadsheetml/2009/9/main" uri="{B025F937-C7B1-47D3-B67F-A62EFF666E3E}">
          <x14:id>{74AEF6AA-0E98-4A9A-B944-701B582F1147}</x14:id>
        </ext>
      </extLst>
    </cfRule>
  </conditionalFormatting>
  <conditionalFormatting sqref="AA34">
    <cfRule type="dataBar" priority="174">
      <dataBar>
        <cfvo type="min"/>
        <cfvo type="max"/>
        <color rgb="FF63C384"/>
      </dataBar>
      <extLst>
        <ext xmlns:x14="http://schemas.microsoft.com/office/spreadsheetml/2009/9/main" uri="{B025F937-C7B1-47D3-B67F-A62EFF666E3E}">
          <x14:id>{42C449CB-4F6F-4988-8F59-356AFC68EFE4}</x14:id>
        </ext>
      </extLst>
    </cfRule>
    <cfRule type="dataBar" priority="175">
      <dataBar>
        <cfvo type="min"/>
        <cfvo type="max"/>
        <color rgb="FF63C384"/>
      </dataBar>
      <extLst>
        <ext xmlns:x14="http://schemas.microsoft.com/office/spreadsheetml/2009/9/main" uri="{B025F937-C7B1-47D3-B67F-A62EFF666E3E}">
          <x14:id>{579F0766-EBC0-402B-B1AE-4297F61FB3B1}</x14:id>
        </ext>
      </extLst>
    </cfRule>
  </conditionalFormatting>
  <conditionalFormatting sqref="AA35">
    <cfRule type="dataBar" priority="218">
      <dataBar>
        <cfvo type="min"/>
        <cfvo type="max"/>
        <color rgb="FF63C384"/>
      </dataBar>
      <extLst>
        <ext xmlns:x14="http://schemas.microsoft.com/office/spreadsheetml/2009/9/main" uri="{B025F937-C7B1-47D3-B67F-A62EFF666E3E}">
          <x14:id>{B3419632-6184-412B-9AAF-E518E4A006B0}</x14:id>
        </ext>
      </extLst>
    </cfRule>
    <cfRule type="dataBar" priority="224">
      <dataBar>
        <cfvo type="min"/>
        <cfvo type="max"/>
        <color rgb="FF63C384"/>
      </dataBar>
      <extLst>
        <ext xmlns:x14="http://schemas.microsoft.com/office/spreadsheetml/2009/9/main" uri="{B025F937-C7B1-47D3-B67F-A62EFF666E3E}">
          <x14:id>{6FB5AA4E-96C8-407C-B0BF-BF2ACCA005BE}</x14:id>
        </ext>
      </extLst>
    </cfRule>
  </conditionalFormatting>
  <conditionalFormatting sqref="AA39">
    <cfRule type="dataBar" priority="173">
      <dataBar>
        <cfvo type="min"/>
        <cfvo type="max"/>
        <color rgb="FF63C384"/>
      </dataBar>
      <extLst>
        <ext xmlns:x14="http://schemas.microsoft.com/office/spreadsheetml/2009/9/main" uri="{B025F937-C7B1-47D3-B67F-A62EFF666E3E}">
          <x14:id>{37A1893A-BDB3-4999-A2D7-2E9445D1052B}</x14:id>
        </ext>
      </extLst>
    </cfRule>
    <cfRule type="dataBar" priority="172">
      <dataBar>
        <cfvo type="min"/>
        <cfvo type="max"/>
        <color rgb="FF63C384"/>
      </dataBar>
      <extLst>
        <ext xmlns:x14="http://schemas.microsoft.com/office/spreadsheetml/2009/9/main" uri="{B025F937-C7B1-47D3-B67F-A62EFF666E3E}">
          <x14:id>{0075A649-8666-4042-B53B-B330AE3E3561}</x14:id>
        </ext>
      </extLst>
    </cfRule>
  </conditionalFormatting>
  <conditionalFormatting sqref="AA40:AA42">
    <cfRule type="dataBar" priority="217">
      <dataBar>
        <cfvo type="min"/>
        <cfvo type="max"/>
        <color rgb="FF63C384"/>
      </dataBar>
      <extLst>
        <ext xmlns:x14="http://schemas.microsoft.com/office/spreadsheetml/2009/9/main" uri="{B025F937-C7B1-47D3-B67F-A62EFF666E3E}">
          <x14:id>{DCAB6944-0887-4E7A-A642-04C54B31CD2F}</x14:id>
        </ext>
      </extLst>
    </cfRule>
    <cfRule type="dataBar" priority="223">
      <dataBar>
        <cfvo type="min"/>
        <cfvo type="max"/>
        <color rgb="FF63C384"/>
      </dataBar>
      <extLst>
        <ext xmlns:x14="http://schemas.microsoft.com/office/spreadsheetml/2009/9/main" uri="{B025F937-C7B1-47D3-B67F-A62EFF666E3E}">
          <x14:id>{BE167AFD-B8D4-4429-9A22-2877E5CE6C96}</x14:id>
        </ext>
      </extLst>
    </cfRule>
  </conditionalFormatting>
  <conditionalFormatting sqref="AA46">
    <cfRule type="dataBar" priority="171">
      <dataBar>
        <cfvo type="min"/>
        <cfvo type="max"/>
        <color rgb="FF63C384"/>
      </dataBar>
      <extLst>
        <ext xmlns:x14="http://schemas.microsoft.com/office/spreadsheetml/2009/9/main" uri="{B025F937-C7B1-47D3-B67F-A62EFF666E3E}">
          <x14:id>{6CC07097-2A56-4B45-862B-64572E31C534}</x14:id>
        </ext>
      </extLst>
    </cfRule>
    <cfRule type="dataBar" priority="170">
      <dataBar>
        <cfvo type="min"/>
        <cfvo type="max"/>
        <color rgb="FF63C384"/>
      </dataBar>
      <extLst>
        <ext xmlns:x14="http://schemas.microsoft.com/office/spreadsheetml/2009/9/main" uri="{B025F937-C7B1-47D3-B67F-A62EFF666E3E}">
          <x14:id>{14CAA69D-A17F-4F96-939F-DC01A1CCD1B8}</x14:id>
        </ext>
      </extLst>
    </cfRule>
  </conditionalFormatting>
  <conditionalFormatting sqref="AA47:AA48">
    <cfRule type="dataBar" priority="216">
      <dataBar>
        <cfvo type="min"/>
        <cfvo type="max"/>
        <color rgb="FF63C384"/>
      </dataBar>
      <extLst>
        <ext xmlns:x14="http://schemas.microsoft.com/office/spreadsheetml/2009/9/main" uri="{B025F937-C7B1-47D3-B67F-A62EFF666E3E}">
          <x14:id>{105C2553-3CCF-4832-9FFA-128290D6C812}</x14:id>
        </ext>
      </extLst>
    </cfRule>
    <cfRule type="dataBar" priority="222">
      <dataBar>
        <cfvo type="min"/>
        <cfvo type="max"/>
        <color rgb="FF63C384"/>
      </dataBar>
      <extLst>
        <ext xmlns:x14="http://schemas.microsoft.com/office/spreadsheetml/2009/9/main" uri="{B025F937-C7B1-47D3-B67F-A62EFF666E3E}">
          <x14:id>{A7EF046F-D975-49D2-880D-86936BC747AD}</x14:id>
        </ext>
      </extLst>
    </cfRule>
  </conditionalFormatting>
  <conditionalFormatting sqref="AI4">
    <cfRule type="dataBar" priority="169">
      <dataBar>
        <cfvo type="min"/>
        <cfvo type="max"/>
        <color rgb="FF63C384"/>
      </dataBar>
      <extLst>
        <ext xmlns:x14="http://schemas.microsoft.com/office/spreadsheetml/2009/9/main" uri="{B025F937-C7B1-47D3-B67F-A62EFF666E3E}">
          <x14:id>{0277DBA8-FF05-4B14-BDA2-4B6CB9E106A9}</x14:id>
        </ext>
      </extLst>
    </cfRule>
    <cfRule type="dataBar" priority="168">
      <dataBar>
        <cfvo type="min"/>
        <cfvo type="max"/>
        <color rgb="FF63C384"/>
      </dataBar>
      <extLst>
        <ext xmlns:x14="http://schemas.microsoft.com/office/spreadsheetml/2009/9/main" uri="{B025F937-C7B1-47D3-B67F-A62EFF666E3E}">
          <x14:id>{1388D8C4-BE45-4B56-897C-FBA911633C69}</x14:id>
        </ext>
      </extLst>
    </cfRule>
  </conditionalFormatting>
  <conditionalFormatting sqref="AI5:AI14">
    <cfRule type="dataBar" priority="215">
      <dataBar>
        <cfvo type="min"/>
        <cfvo type="max"/>
        <color rgb="FF63C384"/>
      </dataBar>
      <extLst>
        <ext xmlns:x14="http://schemas.microsoft.com/office/spreadsheetml/2009/9/main" uri="{B025F937-C7B1-47D3-B67F-A62EFF666E3E}">
          <x14:id>{FDE92886-CA8C-4214-A09B-BBD2AE451911}</x14:id>
        </ext>
      </extLst>
    </cfRule>
    <cfRule type="dataBar" priority="209">
      <dataBar>
        <cfvo type="min"/>
        <cfvo type="max"/>
        <color rgb="FF63C384"/>
      </dataBar>
      <extLst>
        <ext xmlns:x14="http://schemas.microsoft.com/office/spreadsheetml/2009/9/main" uri="{B025F937-C7B1-47D3-B67F-A62EFF666E3E}">
          <x14:id>{048FB722-E863-408D-B14A-186859B3D99E}</x14:id>
        </ext>
      </extLst>
    </cfRule>
  </conditionalFormatting>
  <conditionalFormatting sqref="AI18">
    <cfRule type="dataBar" priority="167">
      <dataBar>
        <cfvo type="min"/>
        <cfvo type="max"/>
        <color rgb="FF63C384"/>
      </dataBar>
      <extLst>
        <ext xmlns:x14="http://schemas.microsoft.com/office/spreadsheetml/2009/9/main" uri="{B025F937-C7B1-47D3-B67F-A62EFF666E3E}">
          <x14:id>{78347D88-4715-49DD-998D-B784725BBB19}</x14:id>
        </ext>
      </extLst>
    </cfRule>
    <cfRule type="dataBar" priority="166">
      <dataBar>
        <cfvo type="min"/>
        <cfvo type="max"/>
        <color rgb="FF63C384"/>
      </dataBar>
      <extLst>
        <ext xmlns:x14="http://schemas.microsoft.com/office/spreadsheetml/2009/9/main" uri="{B025F937-C7B1-47D3-B67F-A62EFF666E3E}">
          <x14:id>{4039242D-2AE6-4D03-8E2B-5E523E0561FD}</x14:id>
        </ext>
      </extLst>
    </cfRule>
  </conditionalFormatting>
  <conditionalFormatting sqref="AI19:AI23">
    <cfRule type="dataBar" priority="214">
      <dataBar>
        <cfvo type="min"/>
        <cfvo type="max"/>
        <color rgb="FF63C384"/>
      </dataBar>
      <extLst>
        <ext xmlns:x14="http://schemas.microsoft.com/office/spreadsheetml/2009/9/main" uri="{B025F937-C7B1-47D3-B67F-A62EFF666E3E}">
          <x14:id>{E3EC1DA8-8474-4F00-BB80-CFDEE03B7EC6}</x14:id>
        </ext>
      </extLst>
    </cfRule>
    <cfRule type="dataBar" priority="208">
      <dataBar>
        <cfvo type="min"/>
        <cfvo type="max"/>
        <color rgb="FF63C384"/>
      </dataBar>
      <extLst>
        <ext xmlns:x14="http://schemas.microsoft.com/office/spreadsheetml/2009/9/main" uri="{B025F937-C7B1-47D3-B67F-A62EFF666E3E}">
          <x14:id>{A766C694-3EE3-4258-82A9-F9204F191127}</x14:id>
        </ext>
      </extLst>
    </cfRule>
  </conditionalFormatting>
  <conditionalFormatting sqref="AI27">
    <cfRule type="dataBar" priority="165">
      <dataBar>
        <cfvo type="min"/>
        <cfvo type="max"/>
        <color rgb="FF63C384"/>
      </dataBar>
      <extLst>
        <ext xmlns:x14="http://schemas.microsoft.com/office/spreadsheetml/2009/9/main" uri="{B025F937-C7B1-47D3-B67F-A62EFF666E3E}">
          <x14:id>{392BFB54-5FE1-4C6C-8BDE-60DCAFBCD2C4}</x14:id>
        </ext>
      </extLst>
    </cfRule>
    <cfRule type="dataBar" priority="164">
      <dataBar>
        <cfvo type="min"/>
        <cfvo type="max"/>
        <color rgb="FF63C384"/>
      </dataBar>
      <extLst>
        <ext xmlns:x14="http://schemas.microsoft.com/office/spreadsheetml/2009/9/main" uri="{B025F937-C7B1-47D3-B67F-A62EFF666E3E}">
          <x14:id>{9B1E819C-B997-4311-B10D-43FE62C2B280}</x14:id>
        </ext>
      </extLst>
    </cfRule>
  </conditionalFormatting>
  <conditionalFormatting sqref="AI28:AI30">
    <cfRule type="dataBar" priority="207">
      <dataBar>
        <cfvo type="min"/>
        <cfvo type="max"/>
        <color rgb="FF63C384"/>
      </dataBar>
      <extLst>
        <ext xmlns:x14="http://schemas.microsoft.com/office/spreadsheetml/2009/9/main" uri="{B025F937-C7B1-47D3-B67F-A62EFF666E3E}">
          <x14:id>{7110B4DA-533E-4B35-A28C-0152B8190D1A}</x14:id>
        </ext>
      </extLst>
    </cfRule>
  </conditionalFormatting>
  <conditionalFormatting sqref="AI28:AI31">
    <cfRule type="dataBar" priority="213">
      <dataBar>
        <cfvo type="min"/>
        <cfvo type="max"/>
        <color rgb="FF63C384"/>
      </dataBar>
      <extLst>
        <ext xmlns:x14="http://schemas.microsoft.com/office/spreadsheetml/2009/9/main" uri="{B025F937-C7B1-47D3-B67F-A62EFF666E3E}">
          <x14:id>{02B2FAF9-08B0-4989-B931-5A022BEB0FAD}</x14:id>
        </ext>
      </extLst>
    </cfRule>
  </conditionalFormatting>
  <conditionalFormatting sqref="AI34">
    <cfRule type="dataBar" priority="163">
      <dataBar>
        <cfvo type="min"/>
        <cfvo type="max"/>
        <color rgb="FF63C384"/>
      </dataBar>
      <extLst>
        <ext xmlns:x14="http://schemas.microsoft.com/office/spreadsheetml/2009/9/main" uri="{B025F937-C7B1-47D3-B67F-A62EFF666E3E}">
          <x14:id>{7E944F87-C93D-4EAA-A8C9-33F3D165CA12}</x14:id>
        </ext>
      </extLst>
    </cfRule>
    <cfRule type="dataBar" priority="162">
      <dataBar>
        <cfvo type="min"/>
        <cfvo type="max"/>
        <color rgb="FF63C384"/>
      </dataBar>
      <extLst>
        <ext xmlns:x14="http://schemas.microsoft.com/office/spreadsheetml/2009/9/main" uri="{B025F937-C7B1-47D3-B67F-A62EFF666E3E}">
          <x14:id>{14AB2EE9-8441-499A-9781-56A2D16FE96C}</x14:id>
        </ext>
      </extLst>
    </cfRule>
  </conditionalFormatting>
  <conditionalFormatting sqref="AI35">
    <cfRule type="dataBar" priority="212">
      <dataBar>
        <cfvo type="min"/>
        <cfvo type="max"/>
        <color rgb="FF63C384"/>
      </dataBar>
      <extLst>
        <ext xmlns:x14="http://schemas.microsoft.com/office/spreadsheetml/2009/9/main" uri="{B025F937-C7B1-47D3-B67F-A62EFF666E3E}">
          <x14:id>{3B4EE5A8-E89F-44DC-9E6F-A236603BD47A}</x14:id>
        </ext>
      </extLst>
    </cfRule>
    <cfRule type="dataBar" priority="206">
      <dataBar>
        <cfvo type="min"/>
        <cfvo type="max"/>
        <color rgb="FF63C384"/>
      </dataBar>
      <extLst>
        <ext xmlns:x14="http://schemas.microsoft.com/office/spreadsheetml/2009/9/main" uri="{B025F937-C7B1-47D3-B67F-A62EFF666E3E}">
          <x14:id>{B2A00D82-90AD-4BBC-8D3E-9813A53B896E}</x14:id>
        </ext>
      </extLst>
    </cfRule>
  </conditionalFormatting>
  <conditionalFormatting sqref="AI39">
    <cfRule type="dataBar" priority="161">
      <dataBar>
        <cfvo type="min"/>
        <cfvo type="max"/>
        <color rgb="FF63C384"/>
      </dataBar>
      <extLst>
        <ext xmlns:x14="http://schemas.microsoft.com/office/spreadsheetml/2009/9/main" uri="{B025F937-C7B1-47D3-B67F-A62EFF666E3E}">
          <x14:id>{B541A9FC-AA5E-4DBE-BF1A-B27C64796007}</x14:id>
        </ext>
      </extLst>
    </cfRule>
    <cfRule type="dataBar" priority="160">
      <dataBar>
        <cfvo type="min"/>
        <cfvo type="max"/>
        <color rgb="FF63C384"/>
      </dataBar>
      <extLst>
        <ext xmlns:x14="http://schemas.microsoft.com/office/spreadsheetml/2009/9/main" uri="{B025F937-C7B1-47D3-B67F-A62EFF666E3E}">
          <x14:id>{0CBC0552-1971-4B09-A550-925A8C6EEF30}</x14:id>
        </ext>
      </extLst>
    </cfRule>
  </conditionalFormatting>
  <conditionalFormatting sqref="AI40:AI42">
    <cfRule type="dataBar" priority="211">
      <dataBar>
        <cfvo type="min"/>
        <cfvo type="max"/>
        <color rgb="FF63C384"/>
      </dataBar>
      <extLst>
        <ext xmlns:x14="http://schemas.microsoft.com/office/spreadsheetml/2009/9/main" uri="{B025F937-C7B1-47D3-B67F-A62EFF666E3E}">
          <x14:id>{A4C48B2E-4C18-471C-9942-71AF4FB0C083}</x14:id>
        </ext>
      </extLst>
    </cfRule>
    <cfRule type="dataBar" priority="205">
      <dataBar>
        <cfvo type="min"/>
        <cfvo type="max"/>
        <color rgb="FF63C384"/>
      </dataBar>
      <extLst>
        <ext xmlns:x14="http://schemas.microsoft.com/office/spreadsheetml/2009/9/main" uri="{B025F937-C7B1-47D3-B67F-A62EFF666E3E}">
          <x14:id>{EC8AA4B7-F956-49E7-B145-A5C14CEF04BE}</x14:id>
        </ext>
      </extLst>
    </cfRule>
  </conditionalFormatting>
  <conditionalFormatting sqref="AI46">
    <cfRule type="dataBar" priority="159">
      <dataBar>
        <cfvo type="min"/>
        <cfvo type="max"/>
        <color rgb="FF63C384"/>
      </dataBar>
      <extLst>
        <ext xmlns:x14="http://schemas.microsoft.com/office/spreadsheetml/2009/9/main" uri="{B025F937-C7B1-47D3-B67F-A62EFF666E3E}">
          <x14:id>{2FB31A80-44CB-4449-96EE-7912D72BAE82}</x14:id>
        </ext>
      </extLst>
    </cfRule>
    <cfRule type="dataBar" priority="158">
      <dataBar>
        <cfvo type="min"/>
        <cfvo type="max"/>
        <color rgb="FF63C384"/>
      </dataBar>
      <extLst>
        <ext xmlns:x14="http://schemas.microsoft.com/office/spreadsheetml/2009/9/main" uri="{B025F937-C7B1-47D3-B67F-A62EFF666E3E}">
          <x14:id>{2073632B-4CBF-4193-B805-40CA3C45206D}</x14:id>
        </ext>
      </extLst>
    </cfRule>
  </conditionalFormatting>
  <conditionalFormatting sqref="AI47:AI48">
    <cfRule type="dataBar" priority="204">
      <dataBar>
        <cfvo type="min"/>
        <cfvo type="max"/>
        <color rgb="FF63C384"/>
      </dataBar>
      <extLst>
        <ext xmlns:x14="http://schemas.microsoft.com/office/spreadsheetml/2009/9/main" uri="{B025F937-C7B1-47D3-B67F-A62EFF666E3E}">
          <x14:id>{207BAE18-0A24-4B49-8767-FAD13BDB0CB5}</x14:id>
        </ext>
      </extLst>
    </cfRule>
    <cfRule type="dataBar" priority="210">
      <dataBar>
        <cfvo type="min"/>
        <cfvo type="max"/>
        <color rgb="FF63C384"/>
      </dataBar>
      <extLst>
        <ext xmlns:x14="http://schemas.microsoft.com/office/spreadsheetml/2009/9/main" uri="{B025F937-C7B1-47D3-B67F-A62EFF666E3E}">
          <x14:id>{434A35E8-346B-4CED-B1B8-1E88E07EB872}</x14:id>
        </ext>
      </extLst>
    </cfRule>
  </conditionalFormatting>
  <conditionalFormatting sqref="AQ4">
    <cfRule type="dataBar" priority="157">
      <dataBar>
        <cfvo type="min"/>
        <cfvo type="max"/>
        <color rgb="FF63C384"/>
      </dataBar>
      <extLst>
        <ext xmlns:x14="http://schemas.microsoft.com/office/spreadsheetml/2009/9/main" uri="{B025F937-C7B1-47D3-B67F-A62EFF666E3E}">
          <x14:id>{17067C46-0261-4A36-9679-484161135A32}</x14:id>
        </ext>
      </extLst>
    </cfRule>
    <cfRule type="dataBar" priority="156">
      <dataBar>
        <cfvo type="min"/>
        <cfvo type="max"/>
        <color rgb="FF63C384"/>
      </dataBar>
      <extLst>
        <ext xmlns:x14="http://schemas.microsoft.com/office/spreadsheetml/2009/9/main" uri="{B025F937-C7B1-47D3-B67F-A62EFF666E3E}">
          <x14:id>{99D47F05-AE9F-484D-9BDF-23C33A8C88AF}</x14:id>
        </ext>
      </extLst>
    </cfRule>
  </conditionalFormatting>
  <conditionalFormatting sqref="AQ5:AQ14">
    <cfRule type="dataBar" priority="198">
      <dataBar>
        <cfvo type="min"/>
        <cfvo type="max"/>
        <color rgb="FF63C384"/>
      </dataBar>
      <extLst>
        <ext xmlns:x14="http://schemas.microsoft.com/office/spreadsheetml/2009/9/main" uri="{B025F937-C7B1-47D3-B67F-A62EFF666E3E}">
          <x14:id>{3B4FED88-6994-4E83-87EB-BAC0201DFDAE}</x14:id>
        </ext>
      </extLst>
    </cfRule>
    <cfRule type="dataBar" priority="203">
      <dataBar>
        <cfvo type="min"/>
        <cfvo type="max"/>
        <color rgb="FF63C384"/>
      </dataBar>
      <extLst>
        <ext xmlns:x14="http://schemas.microsoft.com/office/spreadsheetml/2009/9/main" uri="{B025F937-C7B1-47D3-B67F-A62EFF666E3E}">
          <x14:id>{CA21C8BC-659E-4C9E-9AF6-E4D90F79F955}</x14:id>
        </ext>
      </extLst>
    </cfRule>
  </conditionalFormatting>
  <conditionalFormatting sqref="AQ18:AQ23">
    <cfRule type="dataBar" priority="154">
      <dataBar>
        <cfvo type="min"/>
        <cfvo type="max"/>
        <color rgb="FF63C384"/>
      </dataBar>
      <extLst>
        <ext xmlns:x14="http://schemas.microsoft.com/office/spreadsheetml/2009/9/main" uri="{B025F937-C7B1-47D3-B67F-A62EFF666E3E}">
          <x14:id>{5FB5314D-69F5-4A13-9700-A388A24C0A99}</x14:id>
        </ext>
      </extLst>
    </cfRule>
    <cfRule type="dataBar" priority="155">
      <dataBar>
        <cfvo type="min"/>
        <cfvo type="max"/>
        <color rgb="FF63C384"/>
      </dataBar>
      <extLst>
        <ext xmlns:x14="http://schemas.microsoft.com/office/spreadsheetml/2009/9/main" uri="{B025F937-C7B1-47D3-B67F-A62EFF666E3E}">
          <x14:id>{3ED41135-B4BF-46B5-B91E-1073E57BA5B1}</x14:id>
        </ext>
      </extLst>
    </cfRule>
  </conditionalFormatting>
  <conditionalFormatting sqref="AQ27">
    <cfRule type="dataBar" priority="153">
      <dataBar>
        <cfvo type="min"/>
        <cfvo type="max"/>
        <color rgb="FF63C384"/>
      </dataBar>
      <extLst>
        <ext xmlns:x14="http://schemas.microsoft.com/office/spreadsheetml/2009/9/main" uri="{B025F937-C7B1-47D3-B67F-A62EFF666E3E}">
          <x14:id>{5E447942-41CA-4CDF-B7F5-C98402CFDA2E}</x14:id>
        </ext>
      </extLst>
    </cfRule>
    <cfRule type="dataBar" priority="152">
      <dataBar>
        <cfvo type="min"/>
        <cfvo type="max"/>
        <color rgb="FF63C384"/>
      </dataBar>
      <extLst>
        <ext xmlns:x14="http://schemas.microsoft.com/office/spreadsheetml/2009/9/main" uri="{B025F937-C7B1-47D3-B67F-A62EFF666E3E}">
          <x14:id>{BBDB2FAD-ED59-4441-BE56-5AAAD0F28393}</x14:id>
        </ext>
      </extLst>
    </cfRule>
  </conditionalFormatting>
  <conditionalFormatting sqref="AQ28:AQ30">
    <cfRule type="dataBar" priority="197">
      <dataBar>
        <cfvo type="min"/>
        <cfvo type="max"/>
        <color rgb="FF63C384"/>
      </dataBar>
      <extLst>
        <ext xmlns:x14="http://schemas.microsoft.com/office/spreadsheetml/2009/9/main" uri="{B025F937-C7B1-47D3-B67F-A62EFF666E3E}">
          <x14:id>{AC3B68F3-4948-4AD0-9142-BAE3A811C381}</x14:id>
        </ext>
      </extLst>
    </cfRule>
  </conditionalFormatting>
  <conditionalFormatting sqref="AQ28:AQ31">
    <cfRule type="dataBar" priority="202">
      <dataBar>
        <cfvo type="min"/>
        <cfvo type="max"/>
        <color rgb="FF63C384"/>
      </dataBar>
      <extLst>
        <ext xmlns:x14="http://schemas.microsoft.com/office/spreadsheetml/2009/9/main" uri="{B025F937-C7B1-47D3-B67F-A62EFF666E3E}">
          <x14:id>{756AB3D8-5424-490C-8532-B1366D0B80BC}</x14:id>
        </ext>
      </extLst>
    </cfRule>
  </conditionalFormatting>
  <conditionalFormatting sqref="AQ34">
    <cfRule type="dataBar" priority="150">
      <dataBar>
        <cfvo type="min"/>
        <cfvo type="max"/>
        <color rgb="FF63C384"/>
      </dataBar>
      <extLst>
        <ext xmlns:x14="http://schemas.microsoft.com/office/spreadsheetml/2009/9/main" uri="{B025F937-C7B1-47D3-B67F-A62EFF666E3E}">
          <x14:id>{C785ED70-55FD-4059-A4FF-54D609C42261}</x14:id>
        </ext>
      </extLst>
    </cfRule>
    <cfRule type="dataBar" priority="151">
      <dataBar>
        <cfvo type="min"/>
        <cfvo type="max"/>
        <color rgb="FF63C384"/>
      </dataBar>
      <extLst>
        <ext xmlns:x14="http://schemas.microsoft.com/office/spreadsheetml/2009/9/main" uri="{B025F937-C7B1-47D3-B67F-A62EFF666E3E}">
          <x14:id>{D1320BB1-D07B-47AC-872C-6184517F1A84}</x14:id>
        </ext>
      </extLst>
    </cfRule>
  </conditionalFormatting>
  <conditionalFormatting sqref="AQ35">
    <cfRule type="dataBar" priority="201">
      <dataBar>
        <cfvo type="min"/>
        <cfvo type="max"/>
        <color rgb="FF63C384"/>
      </dataBar>
      <extLst>
        <ext xmlns:x14="http://schemas.microsoft.com/office/spreadsheetml/2009/9/main" uri="{B025F937-C7B1-47D3-B67F-A62EFF666E3E}">
          <x14:id>{60629C9D-4D1F-4806-9091-AE0B250882B3}</x14:id>
        </ext>
      </extLst>
    </cfRule>
    <cfRule type="dataBar" priority="196">
      <dataBar>
        <cfvo type="min"/>
        <cfvo type="max"/>
        <color rgb="FF63C384"/>
      </dataBar>
      <extLst>
        <ext xmlns:x14="http://schemas.microsoft.com/office/spreadsheetml/2009/9/main" uri="{B025F937-C7B1-47D3-B67F-A62EFF666E3E}">
          <x14:id>{816681E8-7DFC-40AE-9257-711E7E879C7E}</x14:id>
        </ext>
      </extLst>
    </cfRule>
  </conditionalFormatting>
  <conditionalFormatting sqref="AQ39">
    <cfRule type="dataBar" priority="149">
      <dataBar>
        <cfvo type="min"/>
        <cfvo type="max"/>
        <color rgb="FF63C384"/>
      </dataBar>
      <extLst>
        <ext xmlns:x14="http://schemas.microsoft.com/office/spreadsheetml/2009/9/main" uri="{B025F937-C7B1-47D3-B67F-A62EFF666E3E}">
          <x14:id>{2E09AEA5-3CCC-47DE-BA65-56E18E25355F}</x14:id>
        </ext>
      </extLst>
    </cfRule>
    <cfRule type="dataBar" priority="148">
      <dataBar>
        <cfvo type="min"/>
        <cfvo type="max"/>
        <color rgb="FF63C384"/>
      </dataBar>
      <extLst>
        <ext xmlns:x14="http://schemas.microsoft.com/office/spreadsheetml/2009/9/main" uri="{B025F937-C7B1-47D3-B67F-A62EFF666E3E}">
          <x14:id>{01B16A18-E6C8-4E17-B1FB-151B8205B274}</x14:id>
        </ext>
      </extLst>
    </cfRule>
  </conditionalFormatting>
  <conditionalFormatting sqref="AQ40:AQ42">
    <cfRule type="dataBar" priority="200">
      <dataBar>
        <cfvo type="min"/>
        <cfvo type="max"/>
        <color rgb="FF63C384"/>
      </dataBar>
      <extLst>
        <ext xmlns:x14="http://schemas.microsoft.com/office/spreadsheetml/2009/9/main" uri="{B025F937-C7B1-47D3-B67F-A62EFF666E3E}">
          <x14:id>{0733897D-FB3C-4004-B2FC-C32AB107584C}</x14:id>
        </ext>
      </extLst>
    </cfRule>
    <cfRule type="dataBar" priority="195">
      <dataBar>
        <cfvo type="min"/>
        <cfvo type="max"/>
        <color rgb="FF63C384"/>
      </dataBar>
      <extLst>
        <ext xmlns:x14="http://schemas.microsoft.com/office/spreadsheetml/2009/9/main" uri="{B025F937-C7B1-47D3-B67F-A62EFF666E3E}">
          <x14:id>{D02BF7BB-1832-4E7C-97E3-31B8416C2F40}</x14:id>
        </ext>
      </extLst>
    </cfRule>
  </conditionalFormatting>
  <conditionalFormatting sqref="AQ46">
    <cfRule type="dataBar" priority="147">
      <dataBar>
        <cfvo type="min"/>
        <cfvo type="max"/>
        <color rgb="FF63C384"/>
      </dataBar>
      <extLst>
        <ext xmlns:x14="http://schemas.microsoft.com/office/spreadsheetml/2009/9/main" uri="{B025F937-C7B1-47D3-B67F-A62EFF666E3E}">
          <x14:id>{FA5EFAA2-4D2E-434D-BDFB-1507AB605D68}</x14:id>
        </ext>
      </extLst>
    </cfRule>
    <cfRule type="dataBar" priority="146">
      <dataBar>
        <cfvo type="min"/>
        <cfvo type="max"/>
        <color rgb="FF63C384"/>
      </dataBar>
      <extLst>
        <ext xmlns:x14="http://schemas.microsoft.com/office/spreadsheetml/2009/9/main" uri="{B025F937-C7B1-47D3-B67F-A62EFF666E3E}">
          <x14:id>{38F7DCF9-EFBB-43C8-8E8B-9C8BC952B4D3}</x14:id>
        </ext>
      </extLst>
    </cfRule>
  </conditionalFormatting>
  <conditionalFormatting sqref="AQ47:AQ48">
    <cfRule type="dataBar" priority="199">
      <dataBar>
        <cfvo type="min"/>
        <cfvo type="max"/>
        <color rgb="FF63C384"/>
      </dataBar>
      <extLst>
        <ext xmlns:x14="http://schemas.microsoft.com/office/spreadsheetml/2009/9/main" uri="{B025F937-C7B1-47D3-B67F-A62EFF666E3E}">
          <x14:id>{F4F44D83-3C4D-49F9-90F1-EA2C77745EB9}</x14:id>
        </ext>
      </extLst>
    </cfRule>
    <cfRule type="dataBar" priority="194">
      <dataBar>
        <cfvo type="min"/>
        <cfvo type="max"/>
        <color rgb="FF63C384"/>
      </dataBar>
      <extLst>
        <ext xmlns:x14="http://schemas.microsoft.com/office/spreadsheetml/2009/9/main" uri="{B025F937-C7B1-47D3-B67F-A62EFF666E3E}">
          <x14:id>{ACF0C21C-5B22-455A-A67F-B22A71F883AC}</x14:id>
        </ext>
      </extLst>
    </cfRule>
  </conditionalFormatting>
  <conditionalFormatting sqref="AY4">
    <cfRule type="dataBar" priority="145">
      <dataBar>
        <cfvo type="min"/>
        <cfvo type="max"/>
        <color rgb="FF63C384"/>
      </dataBar>
      <extLst>
        <ext xmlns:x14="http://schemas.microsoft.com/office/spreadsheetml/2009/9/main" uri="{B025F937-C7B1-47D3-B67F-A62EFF666E3E}">
          <x14:id>{6E19B941-53E3-4D17-AC87-C35B89877765}</x14:id>
        </ext>
      </extLst>
    </cfRule>
    <cfRule type="dataBar" priority="144">
      <dataBar>
        <cfvo type="min"/>
        <cfvo type="max"/>
        <color rgb="FF63C384"/>
      </dataBar>
      <extLst>
        <ext xmlns:x14="http://schemas.microsoft.com/office/spreadsheetml/2009/9/main" uri="{B025F937-C7B1-47D3-B67F-A62EFF666E3E}">
          <x14:id>{FAFDF257-F05F-451B-9497-A20300402201}</x14:id>
        </ext>
      </extLst>
    </cfRule>
  </conditionalFormatting>
  <conditionalFormatting sqref="AY5:AY14">
    <cfRule type="dataBar" priority="193">
      <dataBar>
        <cfvo type="min"/>
        <cfvo type="max"/>
        <color rgb="FF63C384"/>
      </dataBar>
      <extLst>
        <ext xmlns:x14="http://schemas.microsoft.com/office/spreadsheetml/2009/9/main" uri="{B025F937-C7B1-47D3-B67F-A62EFF666E3E}">
          <x14:id>{4E5F4E5E-2248-4CF9-A152-A15F597BFFD0}</x14:id>
        </ext>
      </extLst>
    </cfRule>
    <cfRule type="dataBar" priority="187">
      <dataBar>
        <cfvo type="min"/>
        <cfvo type="max"/>
        <color rgb="FF63C384"/>
      </dataBar>
      <extLst>
        <ext xmlns:x14="http://schemas.microsoft.com/office/spreadsheetml/2009/9/main" uri="{B025F937-C7B1-47D3-B67F-A62EFF666E3E}">
          <x14:id>{689F5200-CBCD-49AF-A777-1BBD1A4CED2C}</x14:id>
        </ext>
      </extLst>
    </cfRule>
  </conditionalFormatting>
  <conditionalFormatting sqref="AY18">
    <cfRule type="dataBar" priority="143">
      <dataBar>
        <cfvo type="min"/>
        <cfvo type="max"/>
        <color rgb="FF63C384"/>
      </dataBar>
      <extLst>
        <ext xmlns:x14="http://schemas.microsoft.com/office/spreadsheetml/2009/9/main" uri="{B025F937-C7B1-47D3-B67F-A62EFF666E3E}">
          <x14:id>{3109F632-E689-4F38-BFA1-5D1AC7B02F72}</x14:id>
        </ext>
      </extLst>
    </cfRule>
    <cfRule type="dataBar" priority="142">
      <dataBar>
        <cfvo type="min"/>
        <cfvo type="max"/>
        <color rgb="FF63C384"/>
      </dataBar>
      <extLst>
        <ext xmlns:x14="http://schemas.microsoft.com/office/spreadsheetml/2009/9/main" uri="{B025F937-C7B1-47D3-B67F-A62EFF666E3E}">
          <x14:id>{C03F21A4-598B-4F51-B40E-C3461209B9CB}</x14:id>
        </ext>
      </extLst>
    </cfRule>
  </conditionalFormatting>
  <conditionalFormatting sqref="AY19:AY23">
    <cfRule type="dataBar" priority="192">
      <dataBar>
        <cfvo type="min"/>
        <cfvo type="max"/>
        <color rgb="FF63C384"/>
      </dataBar>
      <extLst>
        <ext xmlns:x14="http://schemas.microsoft.com/office/spreadsheetml/2009/9/main" uri="{B025F937-C7B1-47D3-B67F-A62EFF666E3E}">
          <x14:id>{6721F14F-CBAB-433B-91AF-1CB62D291794}</x14:id>
        </ext>
      </extLst>
    </cfRule>
    <cfRule type="dataBar" priority="186">
      <dataBar>
        <cfvo type="min"/>
        <cfvo type="max"/>
        <color rgb="FF63C384"/>
      </dataBar>
      <extLst>
        <ext xmlns:x14="http://schemas.microsoft.com/office/spreadsheetml/2009/9/main" uri="{B025F937-C7B1-47D3-B67F-A62EFF666E3E}">
          <x14:id>{CBD9921D-61C5-4825-A9E7-C98F3792EA05}</x14:id>
        </ext>
      </extLst>
    </cfRule>
  </conditionalFormatting>
  <conditionalFormatting sqref="AY27">
    <cfRule type="dataBar" priority="141">
      <dataBar>
        <cfvo type="min"/>
        <cfvo type="max"/>
        <color rgb="FF63C384"/>
      </dataBar>
      <extLst>
        <ext xmlns:x14="http://schemas.microsoft.com/office/spreadsheetml/2009/9/main" uri="{B025F937-C7B1-47D3-B67F-A62EFF666E3E}">
          <x14:id>{99277F46-218D-4BDF-8B07-3F8819A490F2}</x14:id>
        </ext>
      </extLst>
    </cfRule>
    <cfRule type="dataBar" priority="140">
      <dataBar>
        <cfvo type="min"/>
        <cfvo type="max"/>
        <color rgb="FF63C384"/>
      </dataBar>
      <extLst>
        <ext xmlns:x14="http://schemas.microsoft.com/office/spreadsheetml/2009/9/main" uri="{B025F937-C7B1-47D3-B67F-A62EFF666E3E}">
          <x14:id>{33111DCC-CE30-4DE6-97F5-2D7B7A87BC90}</x14:id>
        </ext>
      </extLst>
    </cfRule>
  </conditionalFormatting>
  <conditionalFormatting sqref="AY28:AY30">
    <cfRule type="dataBar" priority="185">
      <dataBar>
        <cfvo type="min"/>
        <cfvo type="max"/>
        <color rgb="FF63C384"/>
      </dataBar>
      <extLst>
        <ext xmlns:x14="http://schemas.microsoft.com/office/spreadsheetml/2009/9/main" uri="{B025F937-C7B1-47D3-B67F-A62EFF666E3E}">
          <x14:id>{5468B4A1-B69A-4679-9891-3F1763008F32}</x14:id>
        </ext>
      </extLst>
    </cfRule>
  </conditionalFormatting>
  <conditionalFormatting sqref="AY28:AY31">
    <cfRule type="dataBar" priority="191">
      <dataBar>
        <cfvo type="min"/>
        <cfvo type="max"/>
        <color rgb="FF63C384"/>
      </dataBar>
      <extLst>
        <ext xmlns:x14="http://schemas.microsoft.com/office/spreadsheetml/2009/9/main" uri="{B025F937-C7B1-47D3-B67F-A62EFF666E3E}">
          <x14:id>{EB937501-3B1A-4054-8428-6EF4649AF426}</x14:id>
        </ext>
      </extLst>
    </cfRule>
  </conditionalFormatting>
  <conditionalFormatting sqref="AY34">
    <cfRule type="dataBar" priority="139">
      <dataBar>
        <cfvo type="min"/>
        <cfvo type="max"/>
        <color rgb="FF63C384"/>
      </dataBar>
      <extLst>
        <ext xmlns:x14="http://schemas.microsoft.com/office/spreadsheetml/2009/9/main" uri="{B025F937-C7B1-47D3-B67F-A62EFF666E3E}">
          <x14:id>{ECF98A05-0E47-45DD-9C68-EBC1834A561F}</x14:id>
        </ext>
      </extLst>
    </cfRule>
    <cfRule type="dataBar" priority="138">
      <dataBar>
        <cfvo type="min"/>
        <cfvo type="max"/>
        <color rgb="FF63C384"/>
      </dataBar>
      <extLst>
        <ext xmlns:x14="http://schemas.microsoft.com/office/spreadsheetml/2009/9/main" uri="{B025F937-C7B1-47D3-B67F-A62EFF666E3E}">
          <x14:id>{AA2481BC-A46A-48F7-9C90-EE08058461A7}</x14:id>
        </ext>
      </extLst>
    </cfRule>
  </conditionalFormatting>
  <conditionalFormatting sqref="AY35">
    <cfRule type="dataBar" priority="190">
      <dataBar>
        <cfvo type="min"/>
        <cfvo type="max"/>
        <color rgb="FF63C384"/>
      </dataBar>
      <extLst>
        <ext xmlns:x14="http://schemas.microsoft.com/office/spreadsheetml/2009/9/main" uri="{B025F937-C7B1-47D3-B67F-A62EFF666E3E}">
          <x14:id>{2430E3A0-6E84-4E1E-8868-16142BF56FC7}</x14:id>
        </ext>
      </extLst>
    </cfRule>
    <cfRule type="dataBar" priority="184">
      <dataBar>
        <cfvo type="min"/>
        <cfvo type="max"/>
        <color rgb="FF63C384"/>
      </dataBar>
      <extLst>
        <ext xmlns:x14="http://schemas.microsoft.com/office/spreadsheetml/2009/9/main" uri="{B025F937-C7B1-47D3-B67F-A62EFF666E3E}">
          <x14:id>{912786F2-D9EE-4645-817F-40121D42AD2D}</x14:id>
        </ext>
      </extLst>
    </cfRule>
  </conditionalFormatting>
  <conditionalFormatting sqref="AY39">
    <cfRule type="dataBar" priority="136">
      <dataBar>
        <cfvo type="min"/>
        <cfvo type="max"/>
        <color rgb="FF63C384"/>
      </dataBar>
      <extLst>
        <ext xmlns:x14="http://schemas.microsoft.com/office/spreadsheetml/2009/9/main" uri="{B025F937-C7B1-47D3-B67F-A62EFF666E3E}">
          <x14:id>{C7F4FDA8-04B2-453B-A259-46108774CC22}</x14:id>
        </ext>
      </extLst>
    </cfRule>
    <cfRule type="dataBar" priority="137">
      <dataBar>
        <cfvo type="min"/>
        <cfvo type="max"/>
        <color rgb="FF63C384"/>
      </dataBar>
      <extLst>
        <ext xmlns:x14="http://schemas.microsoft.com/office/spreadsheetml/2009/9/main" uri="{B025F937-C7B1-47D3-B67F-A62EFF666E3E}">
          <x14:id>{406639C3-1BEE-46D3-9A08-60E19C529C89}</x14:id>
        </ext>
      </extLst>
    </cfRule>
  </conditionalFormatting>
  <conditionalFormatting sqref="AY40:AY42">
    <cfRule type="dataBar" priority="183">
      <dataBar>
        <cfvo type="min"/>
        <cfvo type="max"/>
        <color rgb="FF63C384"/>
      </dataBar>
      <extLst>
        <ext xmlns:x14="http://schemas.microsoft.com/office/spreadsheetml/2009/9/main" uri="{B025F937-C7B1-47D3-B67F-A62EFF666E3E}">
          <x14:id>{D60CD344-5CA2-490D-A5ED-07D697F99CB3}</x14:id>
        </ext>
      </extLst>
    </cfRule>
    <cfRule type="dataBar" priority="189">
      <dataBar>
        <cfvo type="min"/>
        <cfvo type="max"/>
        <color rgb="FF63C384"/>
      </dataBar>
      <extLst>
        <ext xmlns:x14="http://schemas.microsoft.com/office/spreadsheetml/2009/9/main" uri="{B025F937-C7B1-47D3-B67F-A62EFF666E3E}">
          <x14:id>{FA0BB3D0-B49C-460F-8BF9-899B5C9A7D4E}</x14:id>
        </ext>
      </extLst>
    </cfRule>
  </conditionalFormatting>
  <conditionalFormatting sqref="AY46">
    <cfRule type="dataBar" priority="135">
      <dataBar>
        <cfvo type="min"/>
        <cfvo type="max"/>
        <color rgb="FF63C384"/>
      </dataBar>
      <extLst>
        <ext xmlns:x14="http://schemas.microsoft.com/office/spreadsheetml/2009/9/main" uri="{B025F937-C7B1-47D3-B67F-A62EFF666E3E}">
          <x14:id>{5BA22171-777C-4819-9107-D97209B5825D}</x14:id>
        </ext>
      </extLst>
    </cfRule>
    <cfRule type="dataBar" priority="134">
      <dataBar>
        <cfvo type="min"/>
        <cfvo type="max"/>
        <color rgb="FF63C384"/>
      </dataBar>
      <extLst>
        <ext xmlns:x14="http://schemas.microsoft.com/office/spreadsheetml/2009/9/main" uri="{B025F937-C7B1-47D3-B67F-A62EFF666E3E}">
          <x14:id>{64A9DB4D-A0E0-4589-8870-9309CCA6C8D5}</x14:id>
        </ext>
      </extLst>
    </cfRule>
  </conditionalFormatting>
  <conditionalFormatting sqref="AY47:AY48">
    <cfRule type="dataBar" priority="188">
      <dataBar>
        <cfvo type="min"/>
        <cfvo type="max"/>
        <color rgb="FF63C384"/>
      </dataBar>
      <extLst>
        <ext xmlns:x14="http://schemas.microsoft.com/office/spreadsheetml/2009/9/main" uri="{B025F937-C7B1-47D3-B67F-A62EFF666E3E}">
          <x14:id>{FB4F64B3-CF8E-495E-8D0B-26447A351C54}</x14:id>
        </ext>
      </extLst>
    </cfRule>
    <cfRule type="dataBar" priority="182">
      <dataBar>
        <cfvo type="min"/>
        <cfvo type="max"/>
        <color rgb="FF63C384"/>
      </dataBar>
      <extLst>
        <ext xmlns:x14="http://schemas.microsoft.com/office/spreadsheetml/2009/9/main" uri="{B025F937-C7B1-47D3-B67F-A62EFF666E3E}">
          <x14:id>{F0D032E3-EC6D-44F1-AB57-227295593DDB}</x14:id>
        </ext>
      </extLst>
    </cfRule>
  </conditionalFormatting>
  <conditionalFormatting sqref="BH34:BH35">
    <cfRule type="dataBar" priority="109">
      <dataBar>
        <cfvo type="min"/>
        <cfvo type="max"/>
        <color rgb="FF63C384"/>
      </dataBar>
      <extLst>
        <ext xmlns:x14="http://schemas.microsoft.com/office/spreadsheetml/2009/9/main" uri="{B025F937-C7B1-47D3-B67F-A62EFF666E3E}">
          <x14:id>{BE0A9159-6DBD-45A7-A2F3-1B92C228A304}</x14:id>
        </ext>
      </extLst>
    </cfRule>
    <cfRule type="dataBar" priority="108">
      <dataBar>
        <cfvo type="min"/>
        <cfvo type="max"/>
        <color rgb="FF63C384"/>
      </dataBar>
      <extLst>
        <ext xmlns:x14="http://schemas.microsoft.com/office/spreadsheetml/2009/9/main" uri="{B025F937-C7B1-47D3-B67F-A62EFF666E3E}">
          <x14:id>{D7BE082A-0D63-4167-BDE7-20034D28FBE8}</x14:id>
        </ext>
      </extLst>
    </cfRule>
  </conditionalFormatting>
  <conditionalFormatting sqref="BH4:BI14">
    <cfRule type="dataBar" priority="127">
      <dataBar>
        <cfvo type="min"/>
        <cfvo type="max"/>
        <color rgb="FF63C384"/>
      </dataBar>
      <extLst>
        <ext xmlns:x14="http://schemas.microsoft.com/office/spreadsheetml/2009/9/main" uri="{B025F937-C7B1-47D3-B67F-A62EFF666E3E}">
          <x14:id>{392683B2-1476-4201-A0A5-CFDA50130862}</x14:id>
        </ext>
      </extLst>
    </cfRule>
  </conditionalFormatting>
  <conditionalFormatting sqref="BH18:BI23">
    <cfRule type="dataBar" priority="126">
      <dataBar>
        <cfvo type="min"/>
        <cfvo type="max"/>
        <color rgb="FF63C384"/>
      </dataBar>
      <extLst>
        <ext xmlns:x14="http://schemas.microsoft.com/office/spreadsheetml/2009/9/main" uri="{B025F937-C7B1-47D3-B67F-A62EFF666E3E}">
          <x14:id>{3BD6E31A-1AFD-4B96-9EBA-1B38D3069C46}</x14:id>
        </ext>
      </extLst>
    </cfRule>
  </conditionalFormatting>
  <conditionalFormatting sqref="BH27:BI31">
    <cfRule type="dataBar" priority="125">
      <dataBar>
        <cfvo type="min"/>
        <cfvo type="max"/>
        <color rgb="FF63C384"/>
      </dataBar>
      <extLst>
        <ext xmlns:x14="http://schemas.microsoft.com/office/spreadsheetml/2009/9/main" uri="{B025F937-C7B1-47D3-B67F-A62EFF666E3E}">
          <x14:id>{757492C0-7407-4F17-B71F-08BE005DB5E4}</x14:id>
        </ext>
      </extLst>
    </cfRule>
  </conditionalFormatting>
  <conditionalFormatting sqref="BH39:BI42">
    <cfRule type="dataBar" priority="123">
      <dataBar>
        <cfvo type="min"/>
        <cfvo type="max"/>
        <color rgb="FF63C384"/>
      </dataBar>
      <extLst>
        <ext xmlns:x14="http://schemas.microsoft.com/office/spreadsheetml/2009/9/main" uri="{B025F937-C7B1-47D3-B67F-A62EFF666E3E}">
          <x14:id>{C3FBA152-3107-429F-A842-6A10AF24CD77}</x14:id>
        </ext>
      </extLst>
    </cfRule>
  </conditionalFormatting>
  <conditionalFormatting sqref="BH46:BI48">
    <cfRule type="dataBar" priority="122">
      <dataBar>
        <cfvo type="min"/>
        <cfvo type="max"/>
        <color rgb="FF63C384"/>
      </dataBar>
      <extLst>
        <ext xmlns:x14="http://schemas.microsoft.com/office/spreadsheetml/2009/9/main" uri="{B025F937-C7B1-47D3-B67F-A62EFF666E3E}">
          <x14:id>{531DF821-4AB6-4525-9C18-C992F02A8D69}</x14:id>
        </ext>
      </extLst>
    </cfRule>
  </conditionalFormatting>
  <conditionalFormatting sqref="BI34:BI35">
    <cfRule type="dataBar" priority="124">
      <dataBar>
        <cfvo type="min"/>
        <cfvo type="max"/>
        <color rgb="FF63C384"/>
      </dataBar>
      <extLst>
        <ext xmlns:x14="http://schemas.microsoft.com/office/spreadsheetml/2009/9/main" uri="{B025F937-C7B1-47D3-B67F-A62EFF666E3E}">
          <x14:id>{9A40ED0B-96B8-4639-B0D8-B8705D6BDCD3}</x14:id>
        </ext>
      </extLst>
    </cfRule>
  </conditionalFormatting>
  <conditionalFormatting sqref="BP4:BP14">
    <cfRule type="dataBar" priority="107">
      <dataBar>
        <cfvo type="min"/>
        <cfvo type="max"/>
        <color rgb="FF63C384"/>
      </dataBar>
      <extLst>
        <ext xmlns:x14="http://schemas.microsoft.com/office/spreadsheetml/2009/9/main" uri="{B025F937-C7B1-47D3-B67F-A62EFF666E3E}">
          <x14:id>{6B5F0208-EB82-40ED-AFC9-BAF25AE46B12}</x14:id>
        </ext>
      </extLst>
    </cfRule>
    <cfRule type="dataBar" priority="121">
      <dataBar>
        <cfvo type="min"/>
        <cfvo type="max"/>
        <color rgb="FF63C384"/>
      </dataBar>
      <extLst>
        <ext xmlns:x14="http://schemas.microsoft.com/office/spreadsheetml/2009/9/main" uri="{B025F937-C7B1-47D3-B67F-A62EFF666E3E}">
          <x14:id>{95C419D6-E4C1-470D-AF0A-F2CF58C08F59}</x14:id>
        </ext>
      </extLst>
    </cfRule>
    <cfRule type="dataBar" priority="115">
      <dataBar>
        <cfvo type="min"/>
        <cfvo type="max"/>
        <color rgb="FF63C384"/>
      </dataBar>
      <extLst>
        <ext xmlns:x14="http://schemas.microsoft.com/office/spreadsheetml/2009/9/main" uri="{B025F937-C7B1-47D3-B67F-A62EFF666E3E}">
          <x14:id>{93E288CF-4EDA-467E-BFF2-AA447FC38249}</x14:id>
        </ext>
      </extLst>
    </cfRule>
  </conditionalFormatting>
  <conditionalFormatting sqref="BP5:BP14">
    <cfRule type="dataBar" priority="133">
      <dataBar>
        <cfvo type="min"/>
        <cfvo type="max"/>
        <color rgb="FF63C384"/>
      </dataBar>
      <extLst>
        <ext xmlns:x14="http://schemas.microsoft.com/office/spreadsheetml/2009/9/main" uri="{B025F937-C7B1-47D3-B67F-A62EFF666E3E}">
          <x14:id>{92E39FB3-73EB-49F0-B800-065F1D319760}</x14:id>
        </ext>
      </extLst>
    </cfRule>
  </conditionalFormatting>
  <conditionalFormatting sqref="BP18:BP23">
    <cfRule type="dataBar" priority="120">
      <dataBar>
        <cfvo type="min"/>
        <cfvo type="max"/>
        <color rgb="FF63C384"/>
      </dataBar>
      <extLst>
        <ext xmlns:x14="http://schemas.microsoft.com/office/spreadsheetml/2009/9/main" uri="{B025F937-C7B1-47D3-B67F-A62EFF666E3E}">
          <x14:id>{19BF4E8A-154C-4887-B67C-04B92BE9A6A2}</x14:id>
        </ext>
      </extLst>
    </cfRule>
    <cfRule type="dataBar" priority="106">
      <dataBar>
        <cfvo type="min"/>
        <cfvo type="max"/>
        <color rgb="FF63C384"/>
      </dataBar>
      <extLst>
        <ext xmlns:x14="http://schemas.microsoft.com/office/spreadsheetml/2009/9/main" uri="{B025F937-C7B1-47D3-B67F-A62EFF666E3E}">
          <x14:id>{AB1CE1E1-75AA-4202-93D7-565D50208C1C}</x14:id>
        </ext>
      </extLst>
    </cfRule>
    <cfRule type="dataBar" priority="114">
      <dataBar>
        <cfvo type="min"/>
        <cfvo type="max"/>
        <color rgb="FF63C384"/>
      </dataBar>
      <extLst>
        <ext xmlns:x14="http://schemas.microsoft.com/office/spreadsheetml/2009/9/main" uri="{B025F937-C7B1-47D3-B67F-A62EFF666E3E}">
          <x14:id>{DD39B8F1-906B-48BD-B4E2-673D65BA51D9}</x14:id>
        </ext>
      </extLst>
    </cfRule>
  </conditionalFormatting>
  <conditionalFormatting sqref="BP19:BP23">
    <cfRule type="dataBar" priority="132">
      <dataBar>
        <cfvo type="min"/>
        <cfvo type="max"/>
        <color rgb="FF63C384"/>
      </dataBar>
      <extLst>
        <ext xmlns:x14="http://schemas.microsoft.com/office/spreadsheetml/2009/9/main" uri="{B025F937-C7B1-47D3-B67F-A62EFF666E3E}">
          <x14:id>{BAC7E7AD-627E-4505-9930-E2689836BA75}</x14:id>
        </ext>
      </extLst>
    </cfRule>
  </conditionalFormatting>
  <conditionalFormatting sqref="BP27:BP30">
    <cfRule type="dataBar" priority="119">
      <dataBar>
        <cfvo type="min"/>
        <cfvo type="max"/>
        <color rgb="FF63C384"/>
      </dataBar>
      <extLst>
        <ext xmlns:x14="http://schemas.microsoft.com/office/spreadsheetml/2009/9/main" uri="{B025F937-C7B1-47D3-B67F-A62EFF666E3E}">
          <x14:id>{2E1164A8-B702-4CE5-B8E6-9A69B04478E6}</x14:id>
        </ext>
      </extLst>
    </cfRule>
    <cfRule type="dataBar" priority="113">
      <dataBar>
        <cfvo type="min"/>
        <cfvo type="max"/>
        <color rgb="FF63C384"/>
      </dataBar>
      <extLst>
        <ext xmlns:x14="http://schemas.microsoft.com/office/spreadsheetml/2009/9/main" uri="{B025F937-C7B1-47D3-B67F-A62EFF666E3E}">
          <x14:id>{EC236B92-9122-4968-8940-24CB73AC24A5}</x14:id>
        </ext>
      </extLst>
    </cfRule>
  </conditionalFormatting>
  <conditionalFormatting sqref="BP27:BP31">
    <cfRule type="dataBar" priority="105">
      <dataBar>
        <cfvo type="min"/>
        <cfvo type="max"/>
        <color rgb="FF63C384"/>
      </dataBar>
      <extLst>
        <ext xmlns:x14="http://schemas.microsoft.com/office/spreadsheetml/2009/9/main" uri="{B025F937-C7B1-47D3-B67F-A62EFF666E3E}">
          <x14:id>{0B3D73CD-C12E-49AB-A0F5-398339506DF3}</x14:id>
        </ext>
      </extLst>
    </cfRule>
  </conditionalFormatting>
  <conditionalFormatting sqref="BP28:BP31">
    <cfRule type="dataBar" priority="131">
      <dataBar>
        <cfvo type="min"/>
        <cfvo type="max"/>
        <color rgb="FF63C384"/>
      </dataBar>
      <extLst>
        <ext xmlns:x14="http://schemas.microsoft.com/office/spreadsheetml/2009/9/main" uri="{B025F937-C7B1-47D3-B67F-A62EFF666E3E}">
          <x14:id>{E801DF77-9865-4BB8-BC22-35A1A7D57AE0}</x14:id>
        </ext>
      </extLst>
    </cfRule>
  </conditionalFormatting>
  <conditionalFormatting sqref="BP34:BP35">
    <cfRule type="dataBar" priority="118">
      <dataBar>
        <cfvo type="min"/>
        <cfvo type="max"/>
        <color rgb="FF63C384"/>
      </dataBar>
      <extLst>
        <ext xmlns:x14="http://schemas.microsoft.com/office/spreadsheetml/2009/9/main" uri="{B025F937-C7B1-47D3-B67F-A62EFF666E3E}">
          <x14:id>{7994CBC5-E21D-48DA-9570-1918689278E6}</x14:id>
        </ext>
      </extLst>
    </cfRule>
    <cfRule type="dataBar" priority="101">
      <dataBar>
        <cfvo type="min"/>
        <cfvo type="max"/>
        <color rgb="FF63C384"/>
      </dataBar>
      <extLst>
        <ext xmlns:x14="http://schemas.microsoft.com/office/spreadsheetml/2009/9/main" uri="{B025F937-C7B1-47D3-B67F-A62EFF666E3E}">
          <x14:id>{0C6FAF95-80F5-4F6B-A3E6-48C2BCAF9127}</x14:id>
        </ext>
      </extLst>
    </cfRule>
    <cfRule type="dataBar" priority="112">
      <dataBar>
        <cfvo type="min"/>
        <cfvo type="max"/>
        <color rgb="FF63C384"/>
      </dataBar>
      <extLst>
        <ext xmlns:x14="http://schemas.microsoft.com/office/spreadsheetml/2009/9/main" uri="{B025F937-C7B1-47D3-B67F-A62EFF666E3E}">
          <x14:id>{A0854E25-E324-4B87-8A21-4D722B1394D7}</x14:id>
        </ext>
      </extLst>
    </cfRule>
    <cfRule type="dataBar" priority="102">
      <dataBar>
        <cfvo type="min"/>
        <cfvo type="max"/>
        <color rgb="FF63C384"/>
      </dataBar>
      <extLst>
        <ext xmlns:x14="http://schemas.microsoft.com/office/spreadsheetml/2009/9/main" uri="{B025F937-C7B1-47D3-B67F-A62EFF666E3E}">
          <x14:id>{26D5448F-F81A-414A-A6A7-7B3AE63C0FCE}</x14:id>
        </ext>
      </extLst>
    </cfRule>
  </conditionalFormatting>
  <conditionalFormatting sqref="BP35">
    <cfRule type="dataBar" priority="130">
      <dataBar>
        <cfvo type="min"/>
        <cfvo type="max"/>
        <color rgb="FF63C384"/>
      </dataBar>
      <extLst>
        <ext xmlns:x14="http://schemas.microsoft.com/office/spreadsheetml/2009/9/main" uri="{B025F937-C7B1-47D3-B67F-A62EFF666E3E}">
          <x14:id>{171D4CEE-3EF2-48A6-BF21-D14A01B04575}</x14:id>
        </ext>
      </extLst>
    </cfRule>
  </conditionalFormatting>
  <conditionalFormatting sqref="BP39:BP42">
    <cfRule type="dataBar" priority="104">
      <dataBar>
        <cfvo type="min"/>
        <cfvo type="max"/>
        <color rgb="FF63C384"/>
      </dataBar>
      <extLst>
        <ext xmlns:x14="http://schemas.microsoft.com/office/spreadsheetml/2009/9/main" uri="{B025F937-C7B1-47D3-B67F-A62EFF666E3E}">
          <x14:id>{2C7B47CC-85C5-4A1C-AD2B-69B4B716345C}</x14:id>
        </ext>
      </extLst>
    </cfRule>
    <cfRule type="dataBar" priority="117">
      <dataBar>
        <cfvo type="min"/>
        <cfvo type="max"/>
        <color rgb="FF63C384"/>
      </dataBar>
      <extLst>
        <ext xmlns:x14="http://schemas.microsoft.com/office/spreadsheetml/2009/9/main" uri="{B025F937-C7B1-47D3-B67F-A62EFF666E3E}">
          <x14:id>{C7996AB0-38CE-41EB-A1A7-787295C2962D}</x14:id>
        </ext>
      </extLst>
    </cfRule>
    <cfRule type="dataBar" priority="111">
      <dataBar>
        <cfvo type="min"/>
        <cfvo type="max"/>
        <color rgb="FF63C384"/>
      </dataBar>
      <extLst>
        <ext xmlns:x14="http://schemas.microsoft.com/office/spreadsheetml/2009/9/main" uri="{B025F937-C7B1-47D3-B67F-A62EFF666E3E}">
          <x14:id>{DAB21563-1229-4AD1-A297-ED27BBF170FD}</x14:id>
        </ext>
      </extLst>
    </cfRule>
  </conditionalFormatting>
  <conditionalFormatting sqref="BP40:BP42">
    <cfRule type="dataBar" priority="129">
      <dataBar>
        <cfvo type="min"/>
        <cfvo type="max"/>
        <color rgb="FF63C384"/>
      </dataBar>
      <extLst>
        <ext xmlns:x14="http://schemas.microsoft.com/office/spreadsheetml/2009/9/main" uri="{B025F937-C7B1-47D3-B67F-A62EFF666E3E}">
          <x14:id>{B194C5A2-0533-47BC-9A82-8368EA66E779}</x14:id>
        </ext>
      </extLst>
    </cfRule>
  </conditionalFormatting>
  <conditionalFormatting sqref="BP46:BP48">
    <cfRule type="dataBar" priority="103">
      <dataBar>
        <cfvo type="min"/>
        <cfvo type="max"/>
        <color rgb="FF63C384"/>
      </dataBar>
      <extLst>
        <ext xmlns:x14="http://schemas.microsoft.com/office/spreadsheetml/2009/9/main" uri="{B025F937-C7B1-47D3-B67F-A62EFF666E3E}">
          <x14:id>{EFBAC44B-C68A-4EC5-A4BD-CEC3555F62D7}</x14:id>
        </ext>
      </extLst>
    </cfRule>
    <cfRule type="dataBar" priority="110">
      <dataBar>
        <cfvo type="min"/>
        <cfvo type="max"/>
        <color rgb="FF63C384"/>
      </dataBar>
      <extLst>
        <ext xmlns:x14="http://schemas.microsoft.com/office/spreadsheetml/2009/9/main" uri="{B025F937-C7B1-47D3-B67F-A62EFF666E3E}">
          <x14:id>{603F11F1-B17E-4C18-B151-6B18F8C262C7}</x14:id>
        </ext>
      </extLst>
    </cfRule>
    <cfRule type="dataBar" priority="116">
      <dataBar>
        <cfvo type="min"/>
        <cfvo type="max"/>
        <color rgb="FF63C384"/>
      </dataBar>
      <extLst>
        <ext xmlns:x14="http://schemas.microsoft.com/office/spreadsheetml/2009/9/main" uri="{B025F937-C7B1-47D3-B67F-A62EFF666E3E}">
          <x14:id>{9D1A79B6-9662-4070-9E52-7508673F411F}</x14:id>
        </ext>
      </extLst>
    </cfRule>
  </conditionalFormatting>
  <conditionalFormatting sqref="BP47:BP48">
    <cfRule type="dataBar" priority="128">
      <dataBar>
        <cfvo type="min"/>
        <cfvo type="max"/>
        <color rgb="FF63C384"/>
      </dataBar>
      <extLst>
        <ext xmlns:x14="http://schemas.microsoft.com/office/spreadsheetml/2009/9/main" uri="{B025F937-C7B1-47D3-B67F-A62EFF666E3E}">
          <x14:id>{531F02CF-ECC7-4257-A4CB-D769E30B58A8}</x14:id>
        </ext>
      </extLst>
    </cfRule>
  </conditionalFormatting>
  <conditionalFormatting sqref="BW4:BW14">
    <cfRule type="dataBar" priority="94">
      <dataBar>
        <cfvo type="min"/>
        <cfvo type="max"/>
        <color rgb="FF63C384"/>
      </dataBar>
      <extLst>
        <ext xmlns:x14="http://schemas.microsoft.com/office/spreadsheetml/2009/9/main" uri="{B025F937-C7B1-47D3-B67F-A62EFF666E3E}">
          <x14:id>{814C939D-24D9-4DA6-8242-0A6695E1A179}</x14:id>
        </ext>
      </extLst>
    </cfRule>
    <cfRule type="dataBar" priority="88">
      <dataBar>
        <cfvo type="min"/>
        <cfvo type="max"/>
        <color rgb="FF63C384"/>
      </dataBar>
      <extLst>
        <ext xmlns:x14="http://schemas.microsoft.com/office/spreadsheetml/2009/9/main" uri="{B025F937-C7B1-47D3-B67F-A62EFF666E3E}">
          <x14:id>{E37944A7-A1E6-492A-9275-9BED3C22E8F9}</x14:id>
        </ext>
      </extLst>
    </cfRule>
    <cfRule type="dataBar" priority="82">
      <dataBar>
        <cfvo type="min"/>
        <cfvo type="max"/>
        <color rgb="FF63C384"/>
      </dataBar>
      <extLst>
        <ext xmlns:x14="http://schemas.microsoft.com/office/spreadsheetml/2009/9/main" uri="{B025F937-C7B1-47D3-B67F-A62EFF666E3E}">
          <x14:id>{BF4EE398-FBDF-46CD-9922-06F6012BF774}</x14:id>
        </ext>
      </extLst>
    </cfRule>
  </conditionalFormatting>
  <conditionalFormatting sqref="BW5:BW14">
    <cfRule type="dataBar" priority="100">
      <dataBar>
        <cfvo type="min"/>
        <cfvo type="max"/>
        <color rgb="FF63C384"/>
      </dataBar>
      <extLst>
        <ext xmlns:x14="http://schemas.microsoft.com/office/spreadsheetml/2009/9/main" uri="{B025F937-C7B1-47D3-B67F-A62EFF666E3E}">
          <x14:id>{928C23DA-D86F-49E3-9F18-52AE48AD4C6F}</x14:id>
        </ext>
      </extLst>
    </cfRule>
  </conditionalFormatting>
  <conditionalFormatting sqref="BW18:BW23">
    <cfRule type="dataBar" priority="93">
      <dataBar>
        <cfvo type="min"/>
        <cfvo type="max"/>
        <color rgb="FF63C384"/>
      </dataBar>
      <extLst>
        <ext xmlns:x14="http://schemas.microsoft.com/office/spreadsheetml/2009/9/main" uri="{B025F937-C7B1-47D3-B67F-A62EFF666E3E}">
          <x14:id>{9B428363-CC27-4FCF-98E7-E9BC282EC049}</x14:id>
        </ext>
      </extLst>
    </cfRule>
    <cfRule type="dataBar" priority="87">
      <dataBar>
        <cfvo type="min"/>
        <cfvo type="max"/>
        <color rgb="FF63C384"/>
      </dataBar>
      <extLst>
        <ext xmlns:x14="http://schemas.microsoft.com/office/spreadsheetml/2009/9/main" uri="{B025F937-C7B1-47D3-B67F-A62EFF666E3E}">
          <x14:id>{8FAA612B-A659-4DD6-8396-F1022BA74B8C}</x14:id>
        </ext>
      </extLst>
    </cfRule>
    <cfRule type="dataBar" priority="81">
      <dataBar>
        <cfvo type="min"/>
        <cfvo type="max"/>
        <color rgb="FF63C384"/>
      </dataBar>
      <extLst>
        <ext xmlns:x14="http://schemas.microsoft.com/office/spreadsheetml/2009/9/main" uri="{B025F937-C7B1-47D3-B67F-A62EFF666E3E}">
          <x14:id>{B6032300-808A-45A7-BAA0-41A598F81344}</x14:id>
        </ext>
      </extLst>
    </cfRule>
  </conditionalFormatting>
  <conditionalFormatting sqref="BW19:BW23">
    <cfRule type="dataBar" priority="99">
      <dataBar>
        <cfvo type="min"/>
        <cfvo type="max"/>
        <color rgb="FF63C384"/>
      </dataBar>
      <extLst>
        <ext xmlns:x14="http://schemas.microsoft.com/office/spreadsheetml/2009/9/main" uri="{B025F937-C7B1-47D3-B67F-A62EFF666E3E}">
          <x14:id>{4E47B5AB-23DF-43F0-A182-6448B22F3032}</x14:id>
        </ext>
      </extLst>
    </cfRule>
  </conditionalFormatting>
  <conditionalFormatting sqref="BW27:BW30">
    <cfRule type="dataBar" priority="92">
      <dataBar>
        <cfvo type="min"/>
        <cfvo type="max"/>
        <color rgb="FF63C384"/>
      </dataBar>
      <extLst>
        <ext xmlns:x14="http://schemas.microsoft.com/office/spreadsheetml/2009/9/main" uri="{B025F937-C7B1-47D3-B67F-A62EFF666E3E}">
          <x14:id>{B1780C7B-E96C-4C54-A022-8AF38D8C88B7}</x14:id>
        </ext>
      </extLst>
    </cfRule>
    <cfRule type="dataBar" priority="86">
      <dataBar>
        <cfvo type="min"/>
        <cfvo type="max"/>
        <color rgb="FF63C384"/>
      </dataBar>
      <extLst>
        <ext xmlns:x14="http://schemas.microsoft.com/office/spreadsheetml/2009/9/main" uri="{B025F937-C7B1-47D3-B67F-A62EFF666E3E}">
          <x14:id>{FF99DFDC-0334-43BF-AD65-9ECA6061CD9E}</x14:id>
        </ext>
      </extLst>
    </cfRule>
  </conditionalFormatting>
  <conditionalFormatting sqref="BW27:BW31">
    <cfRule type="dataBar" priority="80">
      <dataBar>
        <cfvo type="min"/>
        <cfvo type="max"/>
        <color rgb="FF63C384"/>
      </dataBar>
      <extLst>
        <ext xmlns:x14="http://schemas.microsoft.com/office/spreadsheetml/2009/9/main" uri="{B025F937-C7B1-47D3-B67F-A62EFF666E3E}">
          <x14:id>{C6BCE82D-17C5-451D-B42D-9DFEEEDE2EAD}</x14:id>
        </ext>
      </extLst>
    </cfRule>
  </conditionalFormatting>
  <conditionalFormatting sqref="BW28:BW31">
    <cfRule type="dataBar" priority="98">
      <dataBar>
        <cfvo type="min"/>
        <cfvo type="max"/>
        <color rgb="FF63C384"/>
      </dataBar>
      <extLst>
        <ext xmlns:x14="http://schemas.microsoft.com/office/spreadsheetml/2009/9/main" uri="{B025F937-C7B1-47D3-B67F-A62EFF666E3E}">
          <x14:id>{F3650F6B-0A96-4326-9C6F-5A2D93A83D30}</x14:id>
        </ext>
      </extLst>
    </cfRule>
  </conditionalFormatting>
  <conditionalFormatting sqref="BW34:BW35">
    <cfRule type="dataBar" priority="76">
      <dataBar>
        <cfvo type="min"/>
        <cfvo type="max"/>
        <color rgb="FF63C384"/>
      </dataBar>
      <extLst>
        <ext xmlns:x14="http://schemas.microsoft.com/office/spreadsheetml/2009/9/main" uri="{B025F937-C7B1-47D3-B67F-A62EFF666E3E}">
          <x14:id>{220560BA-CE06-4D39-8DA7-61139362DAA0}</x14:id>
        </ext>
      </extLst>
    </cfRule>
    <cfRule type="dataBar" priority="91">
      <dataBar>
        <cfvo type="min"/>
        <cfvo type="max"/>
        <color rgb="FF63C384"/>
      </dataBar>
      <extLst>
        <ext xmlns:x14="http://schemas.microsoft.com/office/spreadsheetml/2009/9/main" uri="{B025F937-C7B1-47D3-B67F-A62EFF666E3E}">
          <x14:id>{EF251610-8BD4-4B04-8E96-8975108CD971}</x14:id>
        </ext>
      </extLst>
    </cfRule>
    <cfRule type="dataBar" priority="77">
      <dataBar>
        <cfvo type="min"/>
        <cfvo type="max"/>
        <color rgb="FF63C384"/>
      </dataBar>
      <extLst>
        <ext xmlns:x14="http://schemas.microsoft.com/office/spreadsheetml/2009/9/main" uri="{B025F937-C7B1-47D3-B67F-A62EFF666E3E}">
          <x14:id>{2208E34C-366C-4CEA-814D-C8AC13C50E3F}</x14:id>
        </ext>
      </extLst>
    </cfRule>
    <cfRule type="dataBar" priority="85">
      <dataBar>
        <cfvo type="min"/>
        <cfvo type="max"/>
        <color rgb="FF63C384"/>
      </dataBar>
      <extLst>
        <ext xmlns:x14="http://schemas.microsoft.com/office/spreadsheetml/2009/9/main" uri="{B025F937-C7B1-47D3-B67F-A62EFF666E3E}">
          <x14:id>{7389EFB5-7C75-4E4C-8A56-8342A55E6D29}</x14:id>
        </ext>
      </extLst>
    </cfRule>
  </conditionalFormatting>
  <conditionalFormatting sqref="BW35">
    <cfRule type="dataBar" priority="97">
      <dataBar>
        <cfvo type="min"/>
        <cfvo type="max"/>
        <color rgb="FF63C384"/>
      </dataBar>
      <extLst>
        <ext xmlns:x14="http://schemas.microsoft.com/office/spreadsheetml/2009/9/main" uri="{B025F937-C7B1-47D3-B67F-A62EFF666E3E}">
          <x14:id>{18118EE9-C1D5-4D96-A1B6-E416C4FCD2EB}</x14:id>
        </ext>
      </extLst>
    </cfRule>
  </conditionalFormatting>
  <conditionalFormatting sqref="BW39:BW42">
    <cfRule type="dataBar" priority="90">
      <dataBar>
        <cfvo type="min"/>
        <cfvo type="max"/>
        <color rgb="FF63C384"/>
      </dataBar>
      <extLst>
        <ext xmlns:x14="http://schemas.microsoft.com/office/spreadsheetml/2009/9/main" uri="{B025F937-C7B1-47D3-B67F-A62EFF666E3E}">
          <x14:id>{02F603FE-B49F-4B22-8AA2-52F81D23A7A4}</x14:id>
        </ext>
      </extLst>
    </cfRule>
    <cfRule type="dataBar" priority="84">
      <dataBar>
        <cfvo type="min"/>
        <cfvo type="max"/>
        <color rgb="FF63C384"/>
      </dataBar>
      <extLst>
        <ext xmlns:x14="http://schemas.microsoft.com/office/spreadsheetml/2009/9/main" uri="{B025F937-C7B1-47D3-B67F-A62EFF666E3E}">
          <x14:id>{D17731CD-7E04-4615-B6E8-87DC43012F13}</x14:id>
        </ext>
      </extLst>
    </cfRule>
    <cfRule type="dataBar" priority="79">
      <dataBar>
        <cfvo type="min"/>
        <cfvo type="max"/>
        <color rgb="FF63C384"/>
      </dataBar>
      <extLst>
        <ext xmlns:x14="http://schemas.microsoft.com/office/spreadsheetml/2009/9/main" uri="{B025F937-C7B1-47D3-B67F-A62EFF666E3E}">
          <x14:id>{00BA7EF9-C9E5-4290-BFFC-39B722E6574F}</x14:id>
        </ext>
      </extLst>
    </cfRule>
  </conditionalFormatting>
  <conditionalFormatting sqref="BW40:BW42">
    <cfRule type="dataBar" priority="96">
      <dataBar>
        <cfvo type="min"/>
        <cfvo type="max"/>
        <color rgb="FF63C384"/>
      </dataBar>
      <extLst>
        <ext xmlns:x14="http://schemas.microsoft.com/office/spreadsheetml/2009/9/main" uri="{B025F937-C7B1-47D3-B67F-A62EFF666E3E}">
          <x14:id>{50C29B86-1A40-4802-AE55-2224AA67290C}</x14:id>
        </ext>
      </extLst>
    </cfRule>
  </conditionalFormatting>
  <conditionalFormatting sqref="BW46:BW48">
    <cfRule type="dataBar" priority="89">
      <dataBar>
        <cfvo type="min"/>
        <cfvo type="max"/>
        <color rgb="FF63C384"/>
      </dataBar>
      <extLst>
        <ext xmlns:x14="http://schemas.microsoft.com/office/spreadsheetml/2009/9/main" uri="{B025F937-C7B1-47D3-B67F-A62EFF666E3E}">
          <x14:id>{22D9D3A7-B260-4699-A597-602CE3F1C62A}</x14:id>
        </ext>
      </extLst>
    </cfRule>
    <cfRule type="dataBar" priority="78">
      <dataBar>
        <cfvo type="min"/>
        <cfvo type="max"/>
        <color rgb="FF63C384"/>
      </dataBar>
      <extLst>
        <ext xmlns:x14="http://schemas.microsoft.com/office/spreadsheetml/2009/9/main" uri="{B025F937-C7B1-47D3-B67F-A62EFF666E3E}">
          <x14:id>{089489F9-A81C-4ACA-AB25-553B660FC280}</x14:id>
        </ext>
      </extLst>
    </cfRule>
    <cfRule type="dataBar" priority="83">
      <dataBar>
        <cfvo type="min"/>
        <cfvo type="max"/>
        <color rgb="FF63C384"/>
      </dataBar>
      <extLst>
        <ext xmlns:x14="http://schemas.microsoft.com/office/spreadsheetml/2009/9/main" uri="{B025F937-C7B1-47D3-B67F-A62EFF666E3E}">
          <x14:id>{EA5B8FAC-E773-434E-B16D-4FC58C8698D2}</x14:id>
        </ext>
      </extLst>
    </cfRule>
  </conditionalFormatting>
  <conditionalFormatting sqref="BW47:BW48">
    <cfRule type="dataBar" priority="95">
      <dataBar>
        <cfvo type="min"/>
        <cfvo type="max"/>
        <color rgb="FF63C384"/>
      </dataBar>
      <extLst>
        <ext xmlns:x14="http://schemas.microsoft.com/office/spreadsheetml/2009/9/main" uri="{B025F937-C7B1-47D3-B67F-A62EFF666E3E}">
          <x14:id>{D78E86C9-4769-4D3A-8E34-FA33B38E70FC}</x14:id>
        </ext>
      </extLst>
    </cfRule>
  </conditionalFormatting>
  <conditionalFormatting sqref="CE4:CE14">
    <cfRule type="dataBar" priority="57">
      <dataBar>
        <cfvo type="min"/>
        <cfvo type="max"/>
        <color rgb="FF63C384"/>
      </dataBar>
      <extLst>
        <ext xmlns:x14="http://schemas.microsoft.com/office/spreadsheetml/2009/9/main" uri="{B025F937-C7B1-47D3-B67F-A62EFF666E3E}">
          <x14:id>{2B2485FB-6C2D-4343-BEF1-1EC67472CA71}</x14:id>
        </ext>
      </extLst>
    </cfRule>
    <cfRule type="dataBar" priority="69">
      <dataBar>
        <cfvo type="min"/>
        <cfvo type="max"/>
        <color rgb="FF63C384"/>
      </dataBar>
      <extLst>
        <ext xmlns:x14="http://schemas.microsoft.com/office/spreadsheetml/2009/9/main" uri="{B025F937-C7B1-47D3-B67F-A62EFF666E3E}">
          <x14:id>{FE1F47FD-6263-4EF2-B080-59D907E4D012}</x14:id>
        </ext>
      </extLst>
    </cfRule>
    <cfRule type="dataBar" priority="63">
      <dataBar>
        <cfvo type="min"/>
        <cfvo type="max"/>
        <color rgb="FF63C384"/>
      </dataBar>
      <extLst>
        <ext xmlns:x14="http://schemas.microsoft.com/office/spreadsheetml/2009/9/main" uri="{B025F937-C7B1-47D3-B67F-A62EFF666E3E}">
          <x14:id>{286670A9-D700-42A7-8EAF-68616D698FC1}</x14:id>
        </ext>
      </extLst>
    </cfRule>
  </conditionalFormatting>
  <conditionalFormatting sqref="CE5:CE14">
    <cfRule type="dataBar" priority="75">
      <dataBar>
        <cfvo type="min"/>
        <cfvo type="max"/>
        <color rgb="FF63C384"/>
      </dataBar>
      <extLst>
        <ext xmlns:x14="http://schemas.microsoft.com/office/spreadsheetml/2009/9/main" uri="{B025F937-C7B1-47D3-B67F-A62EFF666E3E}">
          <x14:id>{A82EC087-B904-42E4-BB47-43F76AEF63B7}</x14:id>
        </ext>
      </extLst>
    </cfRule>
  </conditionalFormatting>
  <conditionalFormatting sqref="CE18:CE23">
    <cfRule type="dataBar" priority="68">
      <dataBar>
        <cfvo type="min"/>
        <cfvo type="max"/>
        <color rgb="FF63C384"/>
      </dataBar>
      <extLst>
        <ext xmlns:x14="http://schemas.microsoft.com/office/spreadsheetml/2009/9/main" uri="{B025F937-C7B1-47D3-B67F-A62EFF666E3E}">
          <x14:id>{BDB5D5F2-3214-4424-9E20-981E3BD696F0}</x14:id>
        </ext>
      </extLst>
    </cfRule>
    <cfRule type="dataBar" priority="62">
      <dataBar>
        <cfvo type="min"/>
        <cfvo type="max"/>
        <color rgb="FF63C384"/>
      </dataBar>
      <extLst>
        <ext xmlns:x14="http://schemas.microsoft.com/office/spreadsheetml/2009/9/main" uri="{B025F937-C7B1-47D3-B67F-A62EFF666E3E}">
          <x14:id>{0F24FE06-7CE9-45A0-9461-F89B49A3C603}</x14:id>
        </ext>
      </extLst>
    </cfRule>
    <cfRule type="dataBar" priority="56">
      <dataBar>
        <cfvo type="min"/>
        <cfvo type="max"/>
        <color rgb="FF63C384"/>
      </dataBar>
      <extLst>
        <ext xmlns:x14="http://schemas.microsoft.com/office/spreadsheetml/2009/9/main" uri="{B025F937-C7B1-47D3-B67F-A62EFF666E3E}">
          <x14:id>{2608218C-73D7-42CA-B35C-124DBF396A96}</x14:id>
        </ext>
      </extLst>
    </cfRule>
  </conditionalFormatting>
  <conditionalFormatting sqref="CE19:CE23">
    <cfRule type="dataBar" priority="74">
      <dataBar>
        <cfvo type="min"/>
        <cfvo type="max"/>
        <color rgb="FF63C384"/>
      </dataBar>
      <extLst>
        <ext xmlns:x14="http://schemas.microsoft.com/office/spreadsheetml/2009/9/main" uri="{B025F937-C7B1-47D3-B67F-A62EFF666E3E}">
          <x14:id>{4BA062E6-8E71-465B-A153-2DC7BF3E1CB5}</x14:id>
        </ext>
      </extLst>
    </cfRule>
  </conditionalFormatting>
  <conditionalFormatting sqref="CE27:CE30">
    <cfRule type="dataBar" priority="67">
      <dataBar>
        <cfvo type="min"/>
        <cfvo type="max"/>
        <color rgb="FF63C384"/>
      </dataBar>
      <extLst>
        <ext xmlns:x14="http://schemas.microsoft.com/office/spreadsheetml/2009/9/main" uri="{B025F937-C7B1-47D3-B67F-A62EFF666E3E}">
          <x14:id>{64DF6B67-9729-49A3-B669-9DD3B91DC0D6}</x14:id>
        </ext>
      </extLst>
    </cfRule>
    <cfRule type="dataBar" priority="61">
      <dataBar>
        <cfvo type="min"/>
        <cfvo type="max"/>
        <color rgb="FF63C384"/>
      </dataBar>
      <extLst>
        <ext xmlns:x14="http://schemas.microsoft.com/office/spreadsheetml/2009/9/main" uri="{B025F937-C7B1-47D3-B67F-A62EFF666E3E}">
          <x14:id>{14BAC2C0-02CD-4D9F-8363-601DD0C23BEF}</x14:id>
        </ext>
      </extLst>
    </cfRule>
  </conditionalFormatting>
  <conditionalFormatting sqref="CE27:CE31">
    <cfRule type="dataBar" priority="55">
      <dataBar>
        <cfvo type="min"/>
        <cfvo type="max"/>
        <color rgb="FF63C384"/>
      </dataBar>
      <extLst>
        <ext xmlns:x14="http://schemas.microsoft.com/office/spreadsheetml/2009/9/main" uri="{B025F937-C7B1-47D3-B67F-A62EFF666E3E}">
          <x14:id>{04F319A0-588F-45E9-8041-84304AB22602}</x14:id>
        </ext>
      </extLst>
    </cfRule>
  </conditionalFormatting>
  <conditionalFormatting sqref="CE28:CE31">
    <cfRule type="dataBar" priority="73">
      <dataBar>
        <cfvo type="min"/>
        <cfvo type="max"/>
        <color rgb="FF63C384"/>
      </dataBar>
      <extLst>
        <ext xmlns:x14="http://schemas.microsoft.com/office/spreadsheetml/2009/9/main" uri="{B025F937-C7B1-47D3-B67F-A62EFF666E3E}">
          <x14:id>{ABDDA272-4F68-4025-BCE4-F75835919379}</x14:id>
        </ext>
      </extLst>
    </cfRule>
  </conditionalFormatting>
  <conditionalFormatting sqref="CE34:CE35">
    <cfRule type="dataBar" priority="66">
      <dataBar>
        <cfvo type="min"/>
        <cfvo type="max"/>
        <color rgb="FF63C384"/>
      </dataBar>
      <extLst>
        <ext xmlns:x14="http://schemas.microsoft.com/office/spreadsheetml/2009/9/main" uri="{B025F937-C7B1-47D3-B67F-A62EFF666E3E}">
          <x14:id>{A9EC5264-8755-4454-9D1B-05E736EB3233}</x14:id>
        </ext>
      </extLst>
    </cfRule>
    <cfRule type="dataBar" priority="60">
      <dataBar>
        <cfvo type="min"/>
        <cfvo type="max"/>
        <color rgb="FF63C384"/>
      </dataBar>
      <extLst>
        <ext xmlns:x14="http://schemas.microsoft.com/office/spreadsheetml/2009/9/main" uri="{B025F937-C7B1-47D3-B67F-A62EFF666E3E}">
          <x14:id>{0941ED40-E222-473B-98B4-30AFBA099AE2}</x14:id>
        </ext>
      </extLst>
    </cfRule>
    <cfRule type="dataBar" priority="52">
      <dataBar>
        <cfvo type="min"/>
        <cfvo type="max"/>
        <color rgb="FF63C384"/>
      </dataBar>
      <extLst>
        <ext xmlns:x14="http://schemas.microsoft.com/office/spreadsheetml/2009/9/main" uri="{B025F937-C7B1-47D3-B67F-A62EFF666E3E}">
          <x14:id>{9D775004-E17E-45F4-A2B7-0D65C7A3AF64}</x14:id>
        </ext>
      </extLst>
    </cfRule>
    <cfRule type="dataBar" priority="51">
      <dataBar>
        <cfvo type="min"/>
        <cfvo type="max"/>
        <color rgb="FF63C384"/>
      </dataBar>
      <extLst>
        <ext xmlns:x14="http://schemas.microsoft.com/office/spreadsheetml/2009/9/main" uri="{B025F937-C7B1-47D3-B67F-A62EFF666E3E}">
          <x14:id>{EECE7606-408F-4F81-9A2E-AD187BF77DEA}</x14:id>
        </ext>
      </extLst>
    </cfRule>
  </conditionalFormatting>
  <conditionalFormatting sqref="CE35">
    <cfRule type="dataBar" priority="72">
      <dataBar>
        <cfvo type="min"/>
        <cfvo type="max"/>
        <color rgb="FF63C384"/>
      </dataBar>
      <extLst>
        <ext xmlns:x14="http://schemas.microsoft.com/office/spreadsheetml/2009/9/main" uri="{B025F937-C7B1-47D3-B67F-A62EFF666E3E}">
          <x14:id>{E263FECA-587C-4992-830B-A2A0AC31DCA4}</x14:id>
        </ext>
      </extLst>
    </cfRule>
  </conditionalFormatting>
  <conditionalFormatting sqref="CE39:CE42">
    <cfRule type="dataBar" priority="65">
      <dataBar>
        <cfvo type="min"/>
        <cfvo type="max"/>
        <color rgb="FF63C384"/>
      </dataBar>
      <extLst>
        <ext xmlns:x14="http://schemas.microsoft.com/office/spreadsheetml/2009/9/main" uri="{B025F937-C7B1-47D3-B67F-A62EFF666E3E}">
          <x14:id>{696DE245-2DF4-46A1-A1D5-CE56CAE52797}</x14:id>
        </ext>
      </extLst>
    </cfRule>
    <cfRule type="dataBar" priority="59">
      <dataBar>
        <cfvo type="min"/>
        <cfvo type="max"/>
        <color rgb="FF63C384"/>
      </dataBar>
      <extLst>
        <ext xmlns:x14="http://schemas.microsoft.com/office/spreadsheetml/2009/9/main" uri="{B025F937-C7B1-47D3-B67F-A62EFF666E3E}">
          <x14:id>{7F69F42F-0078-4707-8583-E665E4ABE446}</x14:id>
        </ext>
      </extLst>
    </cfRule>
    <cfRule type="dataBar" priority="54">
      <dataBar>
        <cfvo type="min"/>
        <cfvo type="max"/>
        <color rgb="FF63C384"/>
      </dataBar>
      <extLst>
        <ext xmlns:x14="http://schemas.microsoft.com/office/spreadsheetml/2009/9/main" uri="{B025F937-C7B1-47D3-B67F-A62EFF666E3E}">
          <x14:id>{377C45AA-B5D9-4F2B-B7FA-F9116B56903C}</x14:id>
        </ext>
      </extLst>
    </cfRule>
  </conditionalFormatting>
  <conditionalFormatting sqref="CE40:CE42">
    <cfRule type="dataBar" priority="71">
      <dataBar>
        <cfvo type="min"/>
        <cfvo type="max"/>
        <color rgb="FF63C384"/>
      </dataBar>
      <extLst>
        <ext xmlns:x14="http://schemas.microsoft.com/office/spreadsheetml/2009/9/main" uri="{B025F937-C7B1-47D3-B67F-A62EFF666E3E}">
          <x14:id>{E89AB53F-B925-4450-995F-F3356E3BD527}</x14:id>
        </ext>
      </extLst>
    </cfRule>
  </conditionalFormatting>
  <conditionalFormatting sqref="CE46:CE48">
    <cfRule type="dataBar" priority="58">
      <dataBar>
        <cfvo type="min"/>
        <cfvo type="max"/>
        <color rgb="FF63C384"/>
      </dataBar>
      <extLst>
        <ext xmlns:x14="http://schemas.microsoft.com/office/spreadsheetml/2009/9/main" uri="{B025F937-C7B1-47D3-B67F-A62EFF666E3E}">
          <x14:id>{37126396-F289-4591-9A3C-E56143BD3300}</x14:id>
        </ext>
      </extLst>
    </cfRule>
    <cfRule type="dataBar" priority="64">
      <dataBar>
        <cfvo type="min"/>
        <cfvo type="max"/>
        <color rgb="FF63C384"/>
      </dataBar>
      <extLst>
        <ext xmlns:x14="http://schemas.microsoft.com/office/spreadsheetml/2009/9/main" uri="{B025F937-C7B1-47D3-B67F-A62EFF666E3E}">
          <x14:id>{CA2AE594-8728-4C06-A308-F0DFCFF30140}</x14:id>
        </ext>
      </extLst>
    </cfRule>
    <cfRule type="dataBar" priority="53">
      <dataBar>
        <cfvo type="min"/>
        <cfvo type="max"/>
        <color rgb="FF63C384"/>
      </dataBar>
      <extLst>
        <ext xmlns:x14="http://schemas.microsoft.com/office/spreadsheetml/2009/9/main" uri="{B025F937-C7B1-47D3-B67F-A62EFF666E3E}">
          <x14:id>{A4CDAD84-E919-4C06-9B17-F579AE75EC4B}</x14:id>
        </ext>
      </extLst>
    </cfRule>
  </conditionalFormatting>
  <conditionalFormatting sqref="CE47:CE48">
    <cfRule type="dataBar" priority="70">
      <dataBar>
        <cfvo type="min"/>
        <cfvo type="max"/>
        <color rgb="FF63C384"/>
      </dataBar>
      <extLst>
        <ext xmlns:x14="http://schemas.microsoft.com/office/spreadsheetml/2009/9/main" uri="{B025F937-C7B1-47D3-B67F-A62EFF666E3E}">
          <x14:id>{DF5AF0D4-E09A-41F1-A6E3-B823406C7B44}</x14:id>
        </ext>
      </extLst>
    </cfRule>
  </conditionalFormatting>
  <conditionalFormatting sqref="CM4:CM14">
    <cfRule type="dataBar" priority="44">
      <dataBar>
        <cfvo type="min"/>
        <cfvo type="max"/>
        <color rgb="FF63C384"/>
      </dataBar>
      <extLst>
        <ext xmlns:x14="http://schemas.microsoft.com/office/spreadsheetml/2009/9/main" uri="{B025F937-C7B1-47D3-B67F-A62EFF666E3E}">
          <x14:id>{8FDC4FE0-A6BB-4651-B413-AE9E758AB891}</x14:id>
        </ext>
      </extLst>
    </cfRule>
    <cfRule type="dataBar" priority="32">
      <dataBar>
        <cfvo type="min"/>
        <cfvo type="max"/>
        <color rgb="FF63C384"/>
      </dataBar>
      <extLst>
        <ext xmlns:x14="http://schemas.microsoft.com/office/spreadsheetml/2009/9/main" uri="{B025F937-C7B1-47D3-B67F-A62EFF666E3E}">
          <x14:id>{DCF8AAA6-B838-425E-B401-57A35E094BED}</x14:id>
        </ext>
      </extLst>
    </cfRule>
    <cfRule type="dataBar" priority="38">
      <dataBar>
        <cfvo type="min"/>
        <cfvo type="max"/>
        <color rgb="FF63C384"/>
      </dataBar>
      <extLst>
        <ext xmlns:x14="http://schemas.microsoft.com/office/spreadsheetml/2009/9/main" uri="{B025F937-C7B1-47D3-B67F-A62EFF666E3E}">
          <x14:id>{28BE14B0-3AF2-44AD-B4A5-B48ABF663807}</x14:id>
        </ext>
      </extLst>
    </cfRule>
  </conditionalFormatting>
  <conditionalFormatting sqref="CM5:CM14">
    <cfRule type="dataBar" priority="50">
      <dataBar>
        <cfvo type="min"/>
        <cfvo type="max"/>
        <color rgb="FF63C384"/>
      </dataBar>
      <extLst>
        <ext xmlns:x14="http://schemas.microsoft.com/office/spreadsheetml/2009/9/main" uri="{B025F937-C7B1-47D3-B67F-A62EFF666E3E}">
          <x14:id>{F698A5A2-D6F7-47CE-9C2C-6A8383334FE1}</x14:id>
        </ext>
      </extLst>
    </cfRule>
  </conditionalFormatting>
  <conditionalFormatting sqref="CM18:CM23">
    <cfRule type="dataBar" priority="37">
      <dataBar>
        <cfvo type="min"/>
        <cfvo type="max"/>
        <color rgb="FF63C384"/>
      </dataBar>
      <extLst>
        <ext xmlns:x14="http://schemas.microsoft.com/office/spreadsheetml/2009/9/main" uri="{B025F937-C7B1-47D3-B67F-A62EFF666E3E}">
          <x14:id>{5292BA7D-80D2-4FDC-B436-8F11B2E5168A}</x14:id>
        </ext>
      </extLst>
    </cfRule>
    <cfRule type="dataBar" priority="43">
      <dataBar>
        <cfvo type="min"/>
        <cfvo type="max"/>
        <color rgb="FF63C384"/>
      </dataBar>
      <extLst>
        <ext xmlns:x14="http://schemas.microsoft.com/office/spreadsheetml/2009/9/main" uri="{B025F937-C7B1-47D3-B67F-A62EFF666E3E}">
          <x14:id>{E0C33F46-06A9-4F3F-8092-8854BA714014}</x14:id>
        </ext>
      </extLst>
    </cfRule>
    <cfRule type="dataBar" priority="31">
      <dataBar>
        <cfvo type="min"/>
        <cfvo type="max"/>
        <color rgb="FF63C384"/>
      </dataBar>
      <extLst>
        <ext xmlns:x14="http://schemas.microsoft.com/office/spreadsheetml/2009/9/main" uri="{B025F937-C7B1-47D3-B67F-A62EFF666E3E}">
          <x14:id>{ABCCA879-54E6-4826-BDF6-D5B1CF81AEAE}</x14:id>
        </ext>
      </extLst>
    </cfRule>
  </conditionalFormatting>
  <conditionalFormatting sqref="CM19:CM23">
    <cfRule type="dataBar" priority="49">
      <dataBar>
        <cfvo type="min"/>
        <cfvo type="max"/>
        <color rgb="FF63C384"/>
      </dataBar>
      <extLst>
        <ext xmlns:x14="http://schemas.microsoft.com/office/spreadsheetml/2009/9/main" uri="{B025F937-C7B1-47D3-B67F-A62EFF666E3E}">
          <x14:id>{6631337F-CD53-439C-89FF-9DD3ECC3A172}</x14:id>
        </ext>
      </extLst>
    </cfRule>
  </conditionalFormatting>
  <conditionalFormatting sqref="CM27:CM30">
    <cfRule type="dataBar" priority="42">
      <dataBar>
        <cfvo type="min"/>
        <cfvo type="max"/>
        <color rgb="FF63C384"/>
      </dataBar>
      <extLst>
        <ext xmlns:x14="http://schemas.microsoft.com/office/spreadsheetml/2009/9/main" uri="{B025F937-C7B1-47D3-B67F-A62EFF666E3E}">
          <x14:id>{1FC3D710-B753-4E60-8AEA-CF53FAB55989}</x14:id>
        </ext>
      </extLst>
    </cfRule>
    <cfRule type="dataBar" priority="36">
      <dataBar>
        <cfvo type="min"/>
        <cfvo type="max"/>
        <color rgb="FF63C384"/>
      </dataBar>
      <extLst>
        <ext xmlns:x14="http://schemas.microsoft.com/office/spreadsheetml/2009/9/main" uri="{B025F937-C7B1-47D3-B67F-A62EFF666E3E}">
          <x14:id>{91524D55-2F13-4C15-9B54-BB1A58E59B92}</x14:id>
        </ext>
      </extLst>
    </cfRule>
  </conditionalFormatting>
  <conditionalFormatting sqref="CM27:CM31">
    <cfRule type="dataBar" priority="30">
      <dataBar>
        <cfvo type="min"/>
        <cfvo type="max"/>
        <color rgb="FF63C384"/>
      </dataBar>
      <extLst>
        <ext xmlns:x14="http://schemas.microsoft.com/office/spreadsheetml/2009/9/main" uri="{B025F937-C7B1-47D3-B67F-A62EFF666E3E}">
          <x14:id>{7ABA7123-D1F9-47CC-8EA6-5067F769D46B}</x14:id>
        </ext>
      </extLst>
    </cfRule>
  </conditionalFormatting>
  <conditionalFormatting sqref="CM28:CM31">
    <cfRule type="dataBar" priority="48">
      <dataBar>
        <cfvo type="min"/>
        <cfvo type="max"/>
        <color rgb="FF63C384"/>
      </dataBar>
      <extLst>
        <ext xmlns:x14="http://schemas.microsoft.com/office/spreadsheetml/2009/9/main" uri="{B025F937-C7B1-47D3-B67F-A62EFF666E3E}">
          <x14:id>{27564D01-B7ED-4A88-81A1-884A14030D75}</x14:id>
        </ext>
      </extLst>
    </cfRule>
  </conditionalFormatting>
  <conditionalFormatting sqref="CM34:CM35">
    <cfRule type="dataBar" priority="41">
      <dataBar>
        <cfvo type="min"/>
        <cfvo type="max"/>
        <color rgb="FF63C384"/>
      </dataBar>
      <extLst>
        <ext xmlns:x14="http://schemas.microsoft.com/office/spreadsheetml/2009/9/main" uri="{B025F937-C7B1-47D3-B67F-A62EFF666E3E}">
          <x14:id>{D8F25704-9766-4AB1-A5DC-592AA0AF794A}</x14:id>
        </ext>
      </extLst>
    </cfRule>
    <cfRule type="dataBar" priority="35">
      <dataBar>
        <cfvo type="min"/>
        <cfvo type="max"/>
        <color rgb="FF63C384"/>
      </dataBar>
      <extLst>
        <ext xmlns:x14="http://schemas.microsoft.com/office/spreadsheetml/2009/9/main" uri="{B025F937-C7B1-47D3-B67F-A62EFF666E3E}">
          <x14:id>{4D072335-54E1-46F4-96D6-BB77EE63271A}</x14:id>
        </ext>
      </extLst>
    </cfRule>
    <cfRule type="dataBar" priority="27">
      <dataBar>
        <cfvo type="min"/>
        <cfvo type="max"/>
        <color rgb="FF63C384"/>
      </dataBar>
      <extLst>
        <ext xmlns:x14="http://schemas.microsoft.com/office/spreadsheetml/2009/9/main" uri="{B025F937-C7B1-47D3-B67F-A62EFF666E3E}">
          <x14:id>{DC162C76-2259-496F-BC61-1F8339B9BBE7}</x14:id>
        </ext>
      </extLst>
    </cfRule>
    <cfRule type="dataBar" priority="26">
      <dataBar>
        <cfvo type="min"/>
        <cfvo type="max"/>
        <color rgb="FF63C384"/>
      </dataBar>
      <extLst>
        <ext xmlns:x14="http://schemas.microsoft.com/office/spreadsheetml/2009/9/main" uri="{B025F937-C7B1-47D3-B67F-A62EFF666E3E}">
          <x14:id>{D9EB6CCA-C318-4FE1-870E-27796800CF78}</x14:id>
        </ext>
      </extLst>
    </cfRule>
  </conditionalFormatting>
  <conditionalFormatting sqref="CM35">
    <cfRule type="dataBar" priority="47">
      <dataBar>
        <cfvo type="min"/>
        <cfvo type="max"/>
        <color rgb="FF63C384"/>
      </dataBar>
      <extLst>
        <ext xmlns:x14="http://schemas.microsoft.com/office/spreadsheetml/2009/9/main" uri="{B025F937-C7B1-47D3-B67F-A62EFF666E3E}">
          <x14:id>{EA2E8AD9-6922-4E8B-90BD-00D636DDC456}</x14:id>
        </ext>
      </extLst>
    </cfRule>
  </conditionalFormatting>
  <conditionalFormatting sqref="CM39:CM42">
    <cfRule type="dataBar" priority="40">
      <dataBar>
        <cfvo type="min"/>
        <cfvo type="max"/>
        <color rgb="FF63C384"/>
      </dataBar>
      <extLst>
        <ext xmlns:x14="http://schemas.microsoft.com/office/spreadsheetml/2009/9/main" uri="{B025F937-C7B1-47D3-B67F-A62EFF666E3E}">
          <x14:id>{ABDCA2D1-A910-4749-8207-039128D2C49B}</x14:id>
        </ext>
      </extLst>
    </cfRule>
    <cfRule type="dataBar" priority="34">
      <dataBar>
        <cfvo type="min"/>
        <cfvo type="max"/>
        <color rgb="FF63C384"/>
      </dataBar>
      <extLst>
        <ext xmlns:x14="http://schemas.microsoft.com/office/spreadsheetml/2009/9/main" uri="{B025F937-C7B1-47D3-B67F-A62EFF666E3E}">
          <x14:id>{52CC1A4B-3CD9-430F-8C10-EE55ED75FE97}</x14:id>
        </ext>
      </extLst>
    </cfRule>
    <cfRule type="dataBar" priority="29">
      <dataBar>
        <cfvo type="min"/>
        <cfvo type="max"/>
        <color rgb="FF63C384"/>
      </dataBar>
      <extLst>
        <ext xmlns:x14="http://schemas.microsoft.com/office/spreadsheetml/2009/9/main" uri="{B025F937-C7B1-47D3-B67F-A62EFF666E3E}">
          <x14:id>{DE23AE7F-E98F-4815-97DB-39C3D05772AE}</x14:id>
        </ext>
      </extLst>
    </cfRule>
  </conditionalFormatting>
  <conditionalFormatting sqref="CM40:CM42">
    <cfRule type="dataBar" priority="46">
      <dataBar>
        <cfvo type="min"/>
        <cfvo type="max"/>
        <color rgb="FF63C384"/>
      </dataBar>
      <extLst>
        <ext xmlns:x14="http://schemas.microsoft.com/office/spreadsheetml/2009/9/main" uri="{B025F937-C7B1-47D3-B67F-A62EFF666E3E}">
          <x14:id>{6BD9B0EC-12F1-416B-9328-182E5D37861B}</x14:id>
        </ext>
      </extLst>
    </cfRule>
  </conditionalFormatting>
  <conditionalFormatting sqref="CM46:CM48">
    <cfRule type="dataBar" priority="33">
      <dataBar>
        <cfvo type="min"/>
        <cfvo type="max"/>
        <color rgb="FF63C384"/>
      </dataBar>
      <extLst>
        <ext xmlns:x14="http://schemas.microsoft.com/office/spreadsheetml/2009/9/main" uri="{B025F937-C7B1-47D3-B67F-A62EFF666E3E}">
          <x14:id>{B7DB3831-3C05-4111-BF2D-D629AEA1FB15}</x14:id>
        </ext>
      </extLst>
    </cfRule>
    <cfRule type="dataBar" priority="28">
      <dataBar>
        <cfvo type="min"/>
        <cfvo type="max"/>
        <color rgb="FF63C384"/>
      </dataBar>
      <extLst>
        <ext xmlns:x14="http://schemas.microsoft.com/office/spreadsheetml/2009/9/main" uri="{B025F937-C7B1-47D3-B67F-A62EFF666E3E}">
          <x14:id>{7539AD09-2A9A-4FDD-87DB-E6AF56EC0AB7}</x14:id>
        </ext>
      </extLst>
    </cfRule>
    <cfRule type="dataBar" priority="39">
      <dataBar>
        <cfvo type="min"/>
        <cfvo type="max"/>
        <color rgb="FF63C384"/>
      </dataBar>
      <extLst>
        <ext xmlns:x14="http://schemas.microsoft.com/office/spreadsheetml/2009/9/main" uri="{B025F937-C7B1-47D3-B67F-A62EFF666E3E}">
          <x14:id>{716D4702-DCD0-4885-9094-E31482FE4674}</x14:id>
        </ext>
      </extLst>
    </cfRule>
  </conditionalFormatting>
  <conditionalFormatting sqref="CM47:CM48">
    <cfRule type="dataBar" priority="45">
      <dataBar>
        <cfvo type="min"/>
        <cfvo type="max"/>
        <color rgb="FF63C384"/>
      </dataBar>
      <extLst>
        <ext xmlns:x14="http://schemas.microsoft.com/office/spreadsheetml/2009/9/main" uri="{B025F937-C7B1-47D3-B67F-A62EFF666E3E}">
          <x14:id>{56E9B93F-02E9-43DF-8845-6160C6E726F2}</x14:id>
        </ext>
      </extLst>
    </cfRule>
  </conditionalFormatting>
  <conditionalFormatting sqref="CU4:CU14">
    <cfRule type="dataBar" priority="19">
      <dataBar>
        <cfvo type="min"/>
        <cfvo type="max"/>
        <color rgb="FF63C384"/>
      </dataBar>
      <extLst>
        <ext xmlns:x14="http://schemas.microsoft.com/office/spreadsheetml/2009/9/main" uri="{B025F937-C7B1-47D3-B67F-A62EFF666E3E}">
          <x14:id>{CEC87486-40FC-4C65-9515-AD8A05314AA4}</x14:id>
        </ext>
      </extLst>
    </cfRule>
    <cfRule type="dataBar" priority="13">
      <dataBar>
        <cfvo type="min"/>
        <cfvo type="max"/>
        <color rgb="FF63C384"/>
      </dataBar>
      <extLst>
        <ext xmlns:x14="http://schemas.microsoft.com/office/spreadsheetml/2009/9/main" uri="{B025F937-C7B1-47D3-B67F-A62EFF666E3E}">
          <x14:id>{3BD38104-25E0-496A-B0D5-D7BD5FB1785F}</x14:id>
        </ext>
      </extLst>
    </cfRule>
    <cfRule type="dataBar" priority="7">
      <dataBar>
        <cfvo type="min"/>
        <cfvo type="max"/>
        <color rgb="FF63C384"/>
      </dataBar>
      <extLst>
        <ext xmlns:x14="http://schemas.microsoft.com/office/spreadsheetml/2009/9/main" uri="{B025F937-C7B1-47D3-B67F-A62EFF666E3E}">
          <x14:id>{A694E3A0-A6BE-4136-A09F-663B4DD856A7}</x14:id>
        </ext>
      </extLst>
    </cfRule>
  </conditionalFormatting>
  <conditionalFormatting sqref="CU5:CU14">
    <cfRule type="dataBar" priority="25">
      <dataBar>
        <cfvo type="min"/>
        <cfvo type="max"/>
        <color rgb="FF63C384"/>
      </dataBar>
      <extLst>
        <ext xmlns:x14="http://schemas.microsoft.com/office/spreadsheetml/2009/9/main" uri="{B025F937-C7B1-47D3-B67F-A62EFF666E3E}">
          <x14:id>{B7E9F432-BEE1-4061-9A49-A300351B60C5}</x14:id>
        </ext>
      </extLst>
    </cfRule>
  </conditionalFormatting>
  <conditionalFormatting sqref="CU18:CU23">
    <cfRule type="dataBar" priority="18">
      <dataBar>
        <cfvo type="min"/>
        <cfvo type="max"/>
        <color rgb="FF63C384"/>
      </dataBar>
      <extLst>
        <ext xmlns:x14="http://schemas.microsoft.com/office/spreadsheetml/2009/9/main" uri="{B025F937-C7B1-47D3-B67F-A62EFF666E3E}">
          <x14:id>{0EDE2BFF-C059-42B3-9746-2343C2FF32DC}</x14:id>
        </ext>
      </extLst>
    </cfRule>
    <cfRule type="dataBar" priority="12">
      <dataBar>
        <cfvo type="min"/>
        <cfvo type="max"/>
        <color rgb="FF63C384"/>
      </dataBar>
      <extLst>
        <ext xmlns:x14="http://schemas.microsoft.com/office/spreadsheetml/2009/9/main" uri="{B025F937-C7B1-47D3-B67F-A62EFF666E3E}">
          <x14:id>{E4ADDCDB-176A-4766-920A-717FC7D47048}</x14:id>
        </ext>
      </extLst>
    </cfRule>
    <cfRule type="dataBar" priority="6">
      <dataBar>
        <cfvo type="min"/>
        <cfvo type="max"/>
        <color rgb="FF63C384"/>
      </dataBar>
      <extLst>
        <ext xmlns:x14="http://schemas.microsoft.com/office/spreadsheetml/2009/9/main" uri="{B025F937-C7B1-47D3-B67F-A62EFF666E3E}">
          <x14:id>{563E9DD2-8C28-4BBA-A842-5D5394819F68}</x14:id>
        </ext>
      </extLst>
    </cfRule>
  </conditionalFormatting>
  <conditionalFormatting sqref="CU19:CU23">
    <cfRule type="dataBar" priority="24">
      <dataBar>
        <cfvo type="min"/>
        <cfvo type="max"/>
        <color rgb="FF63C384"/>
      </dataBar>
      <extLst>
        <ext xmlns:x14="http://schemas.microsoft.com/office/spreadsheetml/2009/9/main" uri="{B025F937-C7B1-47D3-B67F-A62EFF666E3E}">
          <x14:id>{D115D21F-8F63-4F2F-A978-C86F7833D98B}</x14:id>
        </ext>
      </extLst>
    </cfRule>
  </conditionalFormatting>
  <conditionalFormatting sqref="CU27:CU30">
    <cfRule type="dataBar" priority="11">
      <dataBar>
        <cfvo type="min"/>
        <cfvo type="max"/>
        <color rgb="FF63C384"/>
      </dataBar>
      <extLst>
        <ext xmlns:x14="http://schemas.microsoft.com/office/spreadsheetml/2009/9/main" uri="{B025F937-C7B1-47D3-B67F-A62EFF666E3E}">
          <x14:id>{3A94F026-7809-407D-A41D-BCD1252CE8C4}</x14:id>
        </ext>
      </extLst>
    </cfRule>
    <cfRule type="dataBar" priority="17">
      <dataBar>
        <cfvo type="min"/>
        <cfvo type="max"/>
        <color rgb="FF63C384"/>
      </dataBar>
      <extLst>
        <ext xmlns:x14="http://schemas.microsoft.com/office/spreadsheetml/2009/9/main" uri="{B025F937-C7B1-47D3-B67F-A62EFF666E3E}">
          <x14:id>{B2201C98-D139-482B-98F7-83E88ADEDD57}</x14:id>
        </ext>
      </extLst>
    </cfRule>
  </conditionalFormatting>
  <conditionalFormatting sqref="CU27:CU31">
    <cfRule type="dataBar" priority="5">
      <dataBar>
        <cfvo type="min"/>
        <cfvo type="max"/>
        <color rgb="FF63C384"/>
      </dataBar>
      <extLst>
        <ext xmlns:x14="http://schemas.microsoft.com/office/spreadsheetml/2009/9/main" uri="{B025F937-C7B1-47D3-B67F-A62EFF666E3E}">
          <x14:id>{33DE4E2E-BBDB-4F48-B63F-444D206C0305}</x14:id>
        </ext>
      </extLst>
    </cfRule>
  </conditionalFormatting>
  <conditionalFormatting sqref="CU28:CU31">
    <cfRule type="dataBar" priority="23">
      <dataBar>
        <cfvo type="min"/>
        <cfvo type="max"/>
        <color rgb="FF63C384"/>
      </dataBar>
      <extLst>
        <ext xmlns:x14="http://schemas.microsoft.com/office/spreadsheetml/2009/9/main" uri="{B025F937-C7B1-47D3-B67F-A62EFF666E3E}">
          <x14:id>{888D665A-C369-4F04-A9B9-42ED20AD5F4A}</x14:id>
        </ext>
      </extLst>
    </cfRule>
  </conditionalFormatting>
  <conditionalFormatting sqref="CU34:CU35">
    <cfRule type="dataBar" priority="1">
      <dataBar>
        <cfvo type="min"/>
        <cfvo type="max"/>
        <color rgb="FF63C384"/>
      </dataBar>
      <extLst>
        <ext xmlns:x14="http://schemas.microsoft.com/office/spreadsheetml/2009/9/main" uri="{B025F937-C7B1-47D3-B67F-A62EFF666E3E}">
          <x14:id>{1F536C77-7C6A-4542-AA09-E6C7DEE5D1CC}</x14:id>
        </ext>
      </extLst>
    </cfRule>
    <cfRule type="dataBar" priority="16">
      <dataBar>
        <cfvo type="min"/>
        <cfvo type="max"/>
        <color rgb="FF63C384"/>
      </dataBar>
      <extLst>
        <ext xmlns:x14="http://schemas.microsoft.com/office/spreadsheetml/2009/9/main" uri="{B025F937-C7B1-47D3-B67F-A62EFF666E3E}">
          <x14:id>{F98C125C-D1BD-4BFA-A6FD-10042DBBC184}</x14:id>
        </ext>
      </extLst>
    </cfRule>
    <cfRule type="dataBar" priority="2">
      <dataBar>
        <cfvo type="min"/>
        <cfvo type="max"/>
        <color rgb="FF63C384"/>
      </dataBar>
      <extLst>
        <ext xmlns:x14="http://schemas.microsoft.com/office/spreadsheetml/2009/9/main" uri="{B025F937-C7B1-47D3-B67F-A62EFF666E3E}">
          <x14:id>{A301C537-B730-4E99-A585-3AAB80094EDE}</x14:id>
        </ext>
      </extLst>
    </cfRule>
    <cfRule type="dataBar" priority="10">
      <dataBar>
        <cfvo type="min"/>
        <cfvo type="max"/>
        <color rgb="FF63C384"/>
      </dataBar>
      <extLst>
        <ext xmlns:x14="http://schemas.microsoft.com/office/spreadsheetml/2009/9/main" uri="{B025F937-C7B1-47D3-B67F-A62EFF666E3E}">
          <x14:id>{9CB20C8F-2DA1-4A94-9748-86F535FADC74}</x14:id>
        </ext>
      </extLst>
    </cfRule>
  </conditionalFormatting>
  <conditionalFormatting sqref="CU35">
    <cfRule type="dataBar" priority="22">
      <dataBar>
        <cfvo type="min"/>
        <cfvo type="max"/>
        <color rgb="FF63C384"/>
      </dataBar>
      <extLst>
        <ext xmlns:x14="http://schemas.microsoft.com/office/spreadsheetml/2009/9/main" uri="{B025F937-C7B1-47D3-B67F-A62EFF666E3E}">
          <x14:id>{D72CC5EF-3D2E-440E-858D-6F49EDDDB087}</x14:id>
        </ext>
      </extLst>
    </cfRule>
  </conditionalFormatting>
  <conditionalFormatting sqref="CU39:CU42">
    <cfRule type="dataBar" priority="15">
      <dataBar>
        <cfvo type="min"/>
        <cfvo type="max"/>
        <color rgb="FF63C384"/>
      </dataBar>
      <extLst>
        <ext xmlns:x14="http://schemas.microsoft.com/office/spreadsheetml/2009/9/main" uri="{B025F937-C7B1-47D3-B67F-A62EFF666E3E}">
          <x14:id>{CB7B8FCB-138E-4FA2-B19D-1DFDEC438CD3}</x14:id>
        </ext>
      </extLst>
    </cfRule>
    <cfRule type="dataBar" priority="9">
      <dataBar>
        <cfvo type="min"/>
        <cfvo type="max"/>
        <color rgb="FF63C384"/>
      </dataBar>
      <extLst>
        <ext xmlns:x14="http://schemas.microsoft.com/office/spreadsheetml/2009/9/main" uri="{B025F937-C7B1-47D3-B67F-A62EFF666E3E}">
          <x14:id>{CCB262C2-920A-4981-846E-16A871909E68}</x14:id>
        </ext>
      </extLst>
    </cfRule>
    <cfRule type="dataBar" priority="4">
      <dataBar>
        <cfvo type="min"/>
        <cfvo type="max"/>
        <color rgb="FF63C384"/>
      </dataBar>
      <extLst>
        <ext xmlns:x14="http://schemas.microsoft.com/office/spreadsheetml/2009/9/main" uri="{B025F937-C7B1-47D3-B67F-A62EFF666E3E}">
          <x14:id>{21C35814-2ACA-4FD7-87B6-36E6C4D83EB0}</x14:id>
        </ext>
      </extLst>
    </cfRule>
  </conditionalFormatting>
  <conditionalFormatting sqref="CU40:CU42">
    <cfRule type="dataBar" priority="21">
      <dataBar>
        <cfvo type="min"/>
        <cfvo type="max"/>
        <color rgb="FF63C384"/>
      </dataBar>
      <extLst>
        <ext xmlns:x14="http://schemas.microsoft.com/office/spreadsheetml/2009/9/main" uri="{B025F937-C7B1-47D3-B67F-A62EFF666E3E}">
          <x14:id>{76C9CD25-0360-4300-9F19-C13385A52C04}</x14:id>
        </ext>
      </extLst>
    </cfRule>
  </conditionalFormatting>
  <conditionalFormatting sqref="CU46:CU48">
    <cfRule type="dataBar" priority="14">
      <dataBar>
        <cfvo type="min"/>
        <cfvo type="max"/>
        <color rgb="FF63C384"/>
      </dataBar>
      <extLst>
        <ext xmlns:x14="http://schemas.microsoft.com/office/spreadsheetml/2009/9/main" uri="{B025F937-C7B1-47D3-B67F-A62EFF666E3E}">
          <x14:id>{446F5D01-D983-4DFB-8310-BFC81CDE21CB}</x14:id>
        </ext>
      </extLst>
    </cfRule>
    <cfRule type="dataBar" priority="8">
      <dataBar>
        <cfvo type="min"/>
        <cfvo type="max"/>
        <color rgb="FF63C384"/>
      </dataBar>
      <extLst>
        <ext xmlns:x14="http://schemas.microsoft.com/office/spreadsheetml/2009/9/main" uri="{B025F937-C7B1-47D3-B67F-A62EFF666E3E}">
          <x14:id>{3E5E1E95-CAA7-4FCC-B38D-CA86DE05EBE1}</x14:id>
        </ext>
      </extLst>
    </cfRule>
    <cfRule type="dataBar" priority="3">
      <dataBar>
        <cfvo type="min"/>
        <cfvo type="max"/>
        <color rgb="FF63C384"/>
      </dataBar>
      <extLst>
        <ext xmlns:x14="http://schemas.microsoft.com/office/spreadsheetml/2009/9/main" uri="{B025F937-C7B1-47D3-B67F-A62EFF666E3E}">
          <x14:id>{0978F113-4A37-404B-A5FF-073DD0CB7B40}</x14:id>
        </ext>
      </extLst>
    </cfRule>
  </conditionalFormatting>
  <conditionalFormatting sqref="CU47:CU48">
    <cfRule type="dataBar" priority="20">
      <dataBar>
        <cfvo type="min"/>
        <cfvo type="max"/>
        <color rgb="FF63C384"/>
      </dataBar>
      <extLst>
        <ext xmlns:x14="http://schemas.microsoft.com/office/spreadsheetml/2009/9/main" uri="{B025F937-C7B1-47D3-B67F-A62EFF666E3E}">
          <x14:id>{8CFAF7F3-1D12-4749-B169-53BFF315A053}</x14:id>
        </ext>
      </extLst>
    </cfRule>
  </conditionalFormatting>
  <pageMargins left="0.7" right="0.7" top="0.75" bottom="0.75" header="0.3" footer="0.3"/>
  <pageSetup paperSize="9" orientation="portrait" r:id="rId1"/>
  <tableParts count="7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s>
  <extLst>
    <ext xmlns:x14="http://schemas.microsoft.com/office/spreadsheetml/2009/9/main" uri="{78C0D931-6437-407d-A8EE-F0AAD7539E65}">
      <x14:conditionalFormattings>
        <x14:conditionalFormatting xmlns:xm="http://schemas.microsoft.com/office/excel/2006/main">
          <x14:cfRule type="dataBar" id="{76843C3B-9B44-480F-908F-8B2B3FE12218}">
            <x14:dataBar minLength="0" maxLength="100" border="1" negativeBarBorderColorSameAsPositive="0">
              <x14:cfvo type="autoMin"/>
              <x14:cfvo type="autoMax"/>
              <x14:borderColor rgb="FF63C384"/>
              <x14:negativeFillColor rgb="FFFF0000"/>
              <x14:negativeBorderColor rgb="FFFF0000"/>
              <x14:axisColor rgb="FF000000"/>
            </x14:dataBar>
          </x14:cfRule>
          <xm:sqref>D4:E14</xm:sqref>
        </x14:conditionalFormatting>
        <x14:conditionalFormatting xmlns:xm="http://schemas.microsoft.com/office/excel/2006/main">
          <x14:cfRule type="dataBar" id="{D0B7EF49-5B4E-421B-A0F6-4F53EF172717}">
            <x14:dataBar minLength="0" maxLength="100" border="1" negativeBarBorderColorSameAsPositive="0">
              <x14:cfvo type="autoMin"/>
              <x14:cfvo type="autoMax"/>
              <x14:borderColor rgb="FF63C384"/>
              <x14:negativeFillColor rgb="FFFF0000"/>
              <x14:negativeBorderColor rgb="FFFF0000"/>
              <x14:axisColor rgb="FF000000"/>
            </x14:dataBar>
          </x14:cfRule>
          <xm:sqref>D18:E23</xm:sqref>
        </x14:conditionalFormatting>
        <x14:conditionalFormatting xmlns:xm="http://schemas.microsoft.com/office/excel/2006/main">
          <x14:cfRule type="dataBar" id="{2B186002-7923-4976-B339-9D2C1F809FAE}">
            <x14:dataBar minLength="0" maxLength="100" border="1" negativeBarBorderColorSameAsPositive="0">
              <x14:cfvo type="autoMin"/>
              <x14:cfvo type="autoMax"/>
              <x14:borderColor rgb="FF63C384"/>
              <x14:negativeFillColor rgb="FFFF0000"/>
              <x14:negativeBorderColor rgb="FFFF0000"/>
              <x14:axisColor rgb="FF000000"/>
            </x14:dataBar>
          </x14:cfRule>
          <xm:sqref>D27:E31</xm:sqref>
        </x14:conditionalFormatting>
        <x14:conditionalFormatting xmlns:xm="http://schemas.microsoft.com/office/excel/2006/main">
          <x14:cfRule type="dataBar" id="{E4F72880-409E-4A94-827F-E6EBE8F3D9E8}">
            <x14:dataBar minLength="0" maxLength="100" border="1" negativeBarBorderColorSameAsPositive="0">
              <x14:cfvo type="autoMin"/>
              <x14:cfvo type="autoMax"/>
              <x14:borderColor rgb="FF63C384"/>
              <x14:negativeFillColor rgb="FFFF0000"/>
              <x14:negativeBorderColor rgb="FFFF0000"/>
              <x14:axisColor rgb="FF000000"/>
            </x14:dataBar>
          </x14:cfRule>
          <xm:sqref>D34:E35</xm:sqref>
        </x14:conditionalFormatting>
        <x14:conditionalFormatting xmlns:xm="http://schemas.microsoft.com/office/excel/2006/main">
          <x14:cfRule type="dataBar" id="{DB9807C1-9D14-47B4-AFEF-9BBA9955E546}">
            <x14:dataBar minLength="0" maxLength="100" border="1" negativeBarBorderColorSameAsPositive="0">
              <x14:cfvo type="autoMin"/>
              <x14:cfvo type="autoMax"/>
              <x14:borderColor rgb="FF63C384"/>
              <x14:negativeFillColor rgb="FFFF0000"/>
              <x14:negativeBorderColor rgb="FFFF0000"/>
              <x14:axisColor rgb="FF000000"/>
            </x14:dataBar>
          </x14:cfRule>
          <xm:sqref>D39:E42</xm:sqref>
        </x14:conditionalFormatting>
        <x14:conditionalFormatting xmlns:xm="http://schemas.microsoft.com/office/excel/2006/main">
          <x14:cfRule type="dataBar" id="{71019CC3-D4F8-4161-BF5C-3A680AA4DBF6}">
            <x14:dataBar minLength="0" maxLength="100" border="1" negativeBarBorderColorSameAsPositive="0">
              <x14:cfvo type="autoMin"/>
              <x14:cfvo type="autoMax"/>
              <x14:borderColor rgb="FF63C384"/>
              <x14:negativeFillColor rgb="FFFF0000"/>
              <x14:negativeBorderColor rgb="FFFF0000"/>
              <x14:axisColor rgb="FF000000"/>
            </x14:dataBar>
          </x14:cfRule>
          <xm:sqref>D46:E48</xm:sqref>
        </x14:conditionalFormatting>
        <x14:conditionalFormatting xmlns:xm="http://schemas.microsoft.com/office/excel/2006/main">
          <x14:cfRule type="dataBar" id="{DAEAC4F7-C152-4216-8745-C4B44EF6D35D}">
            <x14:dataBar minLength="0" maxLength="100" border="1" negativeBarBorderColorSameAsPositive="0">
              <x14:cfvo type="autoMin"/>
              <x14:cfvo type="autoMax"/>
              <x14:borderColor rgb="FF63C384"/>
              <x14:negativeFillColor rgb="FFFF0000"/>
              <x14:negativeBorderColor rgb="FFFF0000"/>
              <x14:axisColor rgb="FF000000"/>
            </x14:dataBar>
          </x14:cfRule>
          <xm:sqref>L4</xm:sqref>
        </x14:conditionalFormatting>
        <x14:conditionalFormatting xmlns:xm="http://schemas.microsoft.com/office/excel/2006/main">
          <x14:cfRule type="dataBar" id="{6052AF39-F71E-49A3-A134-967A53F8E1EA}">
            <x14:dataBar minLength="0" maxLength="100" border="1" negativeBarBorderColorSameAsPositive="0">
              <x14:cfvo type="autoMin"/>
              <x14:cfvo type="autoMax"/>
              <x14:borderColor rgb="FF63C384"/>
              <x14:negativeFillColor rgb="FFFF0000"/>
              <x14:negativeBorderColor rgb="FFFF0000"/>
              <x14:axisColor rgb="FF000000"/>
            </x14:dataBar>
          </x14:cfRule>
          <xm:sqref>L4:L14</xm:sqref>
        </x14:conditionalFormatting>
        <x14:conditionalFormatting xmlns:xm="http://schemas.microsoft.com/office/excel/2006/main">
          <x14:cfRule type="dataBar" id="{D0B45548-7A31-49D2-8AEF-634350AD1FAA}">
            <x14:dataBar minLength="0" maxLength="100" border="1" negativeBarBorderColorSameAsPositive="0">
              <x14:cfvo type="autoMin"/>
              <x14:cfvo type="autoMax"/>
              <x14:borderColor rgb="FF63C384"/>
              <x14:negativeFillColor rgb="FFFF0000"/>
              <x14:negativeBorderColor rgb="FFFF0000"/>
              <x14:axisColor rgb="FF000000"/>
            </x14:dataBar>
          </x14:cfRule>
          <xm:sqref>L5:L14</xm:sqref>
        </x14:conditionalFormatting>
        <x14:conditionalFormatting xmlns:xm="http://schemas.microsoft.com/office/excel/2006/main">
          <x14:cfRule type="dataBar" id="{95B6F031-64F8-4994-A101-0CD1A60D4F7E}">
            <x14:dataBar minLength="0" maxLength="100" border="1" negativeBarBorderColorSameAsPositive="0">
              <x14:cfvo type="autoMin"/>
              <x14:cfvo type="autoMax"/>
              <x14:borderColor rgb="FF63C384"/>
              <x14:negativeFillColor rgb="FFFF0000"/>
              <x14:negativeBorderColor rgb="FFFF0000"/>
              <x14:axisColor rgb="FF000000"/>
            </x14:dataBar>
          </x14:cfRule>
          <xm:sqref>L18</xm:sqref>
        </x14:conditionalFormatting>
        <x14:conditionalFormatting xmlns:xm="http://schemas.microsoft.com/office/excel/2006/main">
          <x14:cfRule type="dataBar" id="{C68B2963-2319-4A0D-B4BB-543C3BD1B525}">
            <x14:dataBar minLength="0" maxLength="100" border="1" negativeBarBorderColorSameAsPositive="0">
              <x14:cfvo type="autoMin"/>
              <x14:cfvo type="autoMax"/>
              <x14:borderColor rgb="FF63C384"/>
              <x14:negativeFillColor rgb="FFFF0000"/>
              <x14:negativeBorderColor rgb="FFFF0000"/>
              <x14:axisColor rgb="FF000000"/>
            </x14:dataBar>
          </x14:cfRule>
          <xm:sqref>L18:L23</xm:sqref>
        </x14:conditionalFormatting>
        <x14:conditionalFormatting xmlns:xm="http://schemas.microsoft.com/office/excel/2006/main">
          <x14:cfRule type="dataBar" id="{5DE0D3D4-2787-460A-A2ED-CEEC2335EEC9}">
            <x14:dataBar minLength="0" maxLength="100" border="1" negativeBarBorderColorSameAsPositive="0">
              <x14:cfvo type="autoMin"/>
              <x14:cfvo type="autoMax"/>
              <x14:borderColor rgb="FF63C384"/>
              <x14:negativeFillColor rgb="FFFF0000"/>
              <x14:negativeBorderColor rgb="FFFF0000"/>
              <x14:axisColor rgb="FF000000"/>
            </x14:dataBar>
          </x14:cfRule>
          <xm:sqref>L19:L23</xm:sqref>
        </x14:conditionalFormatting>
        <x14:conditionalFormatting xmlns:xm="http://schemas.microsoft.com/office/excel/2006/main">
          <x14:cfRule type="dataBar" id="{046CC2B7-282C-45DA-A28B-597380E53067}">
            <x14:dataBar minLength="0" maxLength="100" border="1" negativeBarBorderColorSameAsPositive="0">
              <x14:cfvo type="autoMin"/>
              <x14:cfvo type="autoMax"/>
              <x14:borderColor rgb="FF63C384"/>
              <x14:negativeFillColor rgb="FFFF0000"/>
              <x14:negativeBorderColor rgb="FFFF0000"/>
              <x14:axisColor rgb="FF000000"/>
            </x14:dataBar>
          </x14:cfRule>
          <xm:sqref>L27</xm:sqref>
        </x14:conditionalFormatting>
        <x14:conditionalFormatting xmlns:xm="http://schemas.microsoft.com/office/excel/2006/main">
          <x14:cfRule type="dataBar" id="{54CCD6E1-6D6E-438E-83CB-01184348D414}">
            <x14:dataBar minLength="0" maxLength="100" border="1" negativeBarBorderColorSameAsPositive="0">
              <x14:cfvo type="autoMin"/>
              <x14:cfvo type="autoMax"/>
              <x14:borderColor rgb="FF63C384"/>
              <x14:negativeFillColor rgb="FFFF0000"/>
              <x14:negativeBorderColor rgb="FFFF0000"/>
              <x14:axisColor rgb="FF000000"/>
            </x14:dataBar>
          </x14:cfRule>
          <xm:sqref>L27:L30</xm:sqref>
        </x14:conditionalFormatting>
        <x14:conditionalFormatting xmlns:xm="http://schemas.microsoft.com/office/excel/2006/main">
          <x14:cfRule type="dataBar" id="{2ED5C453-91A1-4602-8349-D356B2827F8D}">
            <x14:dataBar minLength="0" maxLength="100" border="1" negativeBarBorderColorSameAsPositive="0">
              <x14:cfvo type="autoMin"/>
              <x14:cfvo type="autoMax"/>
              <x14:borderColor rgb="FF63C384"/>
              <x14:negativeFillColor rgb="FFFF0000"/>
              <x14:negativeBorderColor rgb="FFFF0000"/>
              <x14:axisColor rgb="FF000000"/>
            </x14:dataBar>
          </x14:cfRule>
          <xm:sqref>L28:L31</xm:sqref>
        </x14:conditionalFormatting>
        <x14:conditionalFormatting xmlns:xm="http://schemas.microsoft.com/office/excel/2006/main">
          <x14:cfRule type="dataBar" id="{7778E947-B6A3-49D9-A4EA-5F75B635446D}">
            <x14:dataBar minLength="0" maxLength="100" border="1" negativeBarBorderColorSameAsPositive="0">
              <x14:cfvo type="autoMin"/>
              <x14:cfvo type="autoMax"/>
              <x14:borderColor rgb="FF63C384"/>
              <x14:negativeFillColor rgb="FFFF0000"/>
              <x14:negativeBorderColor rgb="FFFF0000"/>
              <x14:axisColor rgb="FF000000"/>
            </x14:dataBar>
          </x14:cfRule>
          <xm:sqref>L34</xm:sqref>
        </x14:conditionalFormatting>
        <x14:conditionalFormatting xmlns:xm="http://schemas.microsoft.com/office/excel/2006/main">
          <x14:cfRule type="dataBar" id="{463AEE31-621F-44B4-8266-1143BF29D6CB}">
            <x14:dataBar minLength="0" maxLength="100" border="1" negativeBarBorderColorSameAsPositive="0">
              <x14:cfvo type="autoMin"/>
              <x14:cfvo type="autoMax"/>
              <x14:borderColor rgb="FF63C384"/>
              <x14:negativeFillColor rgb="FFFF0000"/>
              <x14:negativeBorderColor rgb="FFFF0000"/>
              <x14:axisColor rgb="FF000000"/>
            </x14:dataBar>
          </x14:cfRule>
          <xm:sqref>L34:L35</xm:sqref>
        </x14:conditionalFormatting>
        <x14:conditionalFormatting xmlns:xm="http://schemas.microsoft.com/office/excel/2006/main">
          <x14:cfRule type="dataBar" id="{F7ECE512-7685-4B6D-BE38-3C2C15EB443C}">
            <x14:dataBar minLength="0" maxLength="100" border="1" negativeBarBorderColorSameAsPositive="0">
              <x14:cfvo type="autoMin"/>
              <x14:cfvo type="autoMax"/>
              <x14:borderColor rgb="FF63C384"/>
              <x14:negativeFillColor rgb="FFFF0000"/>
              <x14:negativeBorderColor rgb="FFFF0000"/>
              <x14:axisColor rgb="FF000000"/>
            </x14:dataBar>
          </x14:cfRule>
          <xm:sqref>L35</xm:sqref>
        </x14:conditionalFormatting>
        <x14:conditionalFormatting xmlns:xm="http://schemas.microsoft.com/office/excel/2006/main">
          <x14:cfRule type="dataBar" id="{D293F390-FFDB-4625-9CC2-82FAEFB7278B}">
            <x14:dataBar minLength="0" maxLength="100" border="1" negativeBarBorderColorSameAsPositive="0">
              <x14:cfvo type="autoMin"/>
              <x14:cfvo type="autoMax"/>
              <x14:borderColor rgb="FF63C384"/>
              <x14:negativeFillColor rgb="FFFF0000"/>
              <x14:negativeBorderColor rgb="FFFF0000"/>
              <x14:axisColor rgb="FF000000"/>
            </x14:dataBar>
          </x14:cfRule>
          <xm:sqref>L39</xm:sqref>
        </x14:conditionalFormatting>
        <x14:conditionalFormatting xmlns:xm="http://schemas.microsoft.com/office/excel/2006/main">
          <x14:cfRule type="dataBar" id="{24F92B62-7E94-4949-A848-B5C5AB73B8A2}">
            <x14:dataBar minLength="0" maxLength="100" border="1" negativeBarBorderColorSameAsPositive="0">
              <x14:cfvo type="autoMin"/>
              <x14:cfvo type="autoMax"/>
              <x14:borderColor rgb="FF63C384"/>
              <x14:negativeFillColor rgb="FFFF0000"/>
              <x14:negativeBorderColor rgb="FFFF0000"/>
              <x14:axisColor rgb="FF000000"/>
            </x14:dataBar>
          </x14:cfRule>
          <xm:sqref>L39:L42</xm:sqref>
        </x14:conditionalFormatting>
        <x14:conditionalFormatting xmlns:xm="http://schemas.microsoft.com/office/excel/2006/main">
          <x14:cfRule type="dataBar" id="{94B0512A-FA6E-4E49-8F22-E872C597C091}">
            <x14:dataBar minLength="0" maxLength="100" border="1" negativeBarBorderColorSameAsPositive="0">
              <x14:cfvo type="autoMin"/>
              <x14:cfvo type="autoMax"/>
              <x14:borderColor rgb="FF63C384"/>
              <x14:negativeFillColor rgb="FFFF0000"/>
              <x14:negativeBorderColor rgb="FFFF0000"/>
              <x14:axisColor rgb="FF000000"/>
            </x14:dataBar>
          </x14:cfRule>
          <xm:sqref>L40:L42</xm:sqref>
        </x14:conditionalFormatting>
        <x14:conditionalFormatting xmlns:xm="http://schemas.microsoft.com/office/excel/2006/main">
          <x14:cfRule type="dataBar" id="{F0CC49B0-A51E-4B12-821F-1D6DB53D0643}">
            <x14:dataBar minLength="0" maxLength="100" border="1" negativeBarBorderColorSameAsPositive="0">
              <x14:cfvo type="autoMin"/>
              <x14:cfvo type="autoMax"/>
              <x14:borderColor rgb="FF63C384"/>
              <x14:negativeFillColor rgb="FFFF0000"/>
              <x14:negativeBorderColor rgb="FFFF0000"/>
              <x14:axisColor rgb="FF000000"/>
            </x14:dataBar>
          </x14:cfRule>
          <xm:sqref>L46</xm:sqref>
        </x14:conditionalFormatting>
        <x14:conditionalFormatting xmlns:xm="http://schemas.microsoft.com/office/excel/2006/main">
          <x14:cfRule type="dataBar" id="{5E8AE35A-45B6-4024-9019-F4FF841F87C0}">
            <x14:dataBar minLength="0" maxLength="100" border="1" negativeBarBorderColorSameAsPositive="0">
              <x14:cfvo type="autoMin"/>
              <x14:cfvo type="autoMax"/>
              <x14:borderColor rgb="FF63C384"/>
              <x14:negativeFillColor rgb="FFFF0000"/>
              <x14:negativeBorderColor rgb="FFFF0000"/>
              <x14:axisColor rgb="FF000000"/>
            </x14:dataBar>
          </x14:cfRule>
          <xm:sqref>L46:L48</xm:sqref>
        </x14:conditionalFormatting>
        <x14:conditionalFormatting xmlns:xm="http://schemas.microsoft.com/office/excel/2006/main">
          <x14:cfRule type="dataBar" id="{71196E54-900F-4F96-A9E0-9B10E7520176}">
            <x14:dataBar minLength="0" maxLength="100" border="1" negativeBarBorderColorSameAsPositive="0">
              <x14:cfvo type="autoMin"/>
              <x14:cfvo type="autoMax"/>
              <x14:borderColor rgb="FF63C384"/>
              <x14:negativeFillColor rgb="FFFF0000"/>
              <x14:negativeBorderColor rgb="FFFF0000"/>
              <x14:axisColor rgb="FF000000"/>
            </x14:dataBar>
          </x14:cfRule>
          <xm:sqref>L47:L48</xm:sqref>
        </x14:conditionalFormatting>
        <x14:conditionalFormatting xmlns:xm="http://schemas.microsoft.com/office/excel/2006/main">
          <x14:cfRule type="dataBar" id="{A4FEA914-D12D-4D21-9045-40B33CB9ADAC}">
            <x14:dataBar minLength="0" maxLength="100" border="1" negativeBarBorderColorSameAsPositive="0">
              <x14:cfvo type="autoMin"/>
              <x14:cfvo type="autoMax"/>
              <x14:borderColor rgb="FF63C384"/>
              <x14:negativeFillColor rgb="FFFF0000"/>
              <x14:negativeBorderColor rgb="FFFF0000"/>
              <x14:axisColor rgb="FF000000"/>
            </x14:dataBar>
          </x14:cfRule>
          <xm:sqref>S4</xm:sqref>
        </x14:conditionalFormatting>
        <x14:conditionalFormatting xmlns:xm="http://schemas.microsoft.com/office/excel/2006/main">
          <x14:cfRule type="dataBar" id="{07D167E8-6D13-4B11-8FA2-E5BBCEB59D9A}">
            <x14:dataBar minLength="0" maxLength="100" border="1" negativeBarBorderColorSameAsPositive="0">
              <x14:cfvo type="autoMin"/>
              <x14:cfvo type="autoMax"/>
              <x14:borderColor rgb="FF63C384"/>
              <x14:negativeFillColor rgb="FFFF0000"/>
              <x14:negativeBorderColor rgb="FFFF0000"/>
              <x14:axisColor rgb="FF000000"/>
            </x14:dataBar>
          </x14:cfRule>
          <xm:sqref>S4:S14</xm:sqref>
        </x14:conditionalFormatting>
        <x14:conditionalFormatting xmlns:xm="http://schemas.microsoft.com/office/excel/2006/main">
          <x14:cfRule type="dataBar" id="{F2003820-7D4A-47D1-B5AE-F5D26F834690}">
            <x14:dataBar minLength="0" maxLength="100" border="1" negativeBarBorderColorSameAsPositive="0">
              <x14:cfvo type="autoMin"/>
              <x14:cfvo type="autoMax"/>
              <x14:borderColor rgb="FF63C384"/>
              <x14:negativeFillColor rgb="FFFF0000"/>
              <x14:negativeBorderColor rgb="FFFF0000"/>
              <x14:axisColor rgb="FF000000"/>
            </x14:dataBar>
          </x14:cfRule>
          <xm:sqref>S5:S14</xm:sqref>
        </x14:conditionalFormatting>
        <x14:conditionalFormatting xmlns:xm="http://schemas.microsoft.com/office/excel/2006/main">
          <x14:cfRule type="dataBar" id="{94B2EEF6-FF29-4B5B-BE46-D7A38300DD98}">
            <x14:dataBar minLength="0" maxLength="100" border="1" negativeBarBorderColorSameAsPositive="0">
              <x14:cfvo type="autoMin"/>
              <x14:cfvo type="autoMax"/>
              <x14:borderColor rgb="FF63C384"/>
              <x14:negativeFillColor rgb="FFFF0000"/>
              <x14:negativeBorderColor rgb="FFFF0000"/>
              <x14:axisColor rgb="FF000000"/>
            </x14:dataBar>
          </x14:cfRule>
          <xm:sqref>S18</xm:sqref>
        </x14:conditionalFormatting>
        <x14:conditionalFormatting xmlns:xm="http://schemas.microsoft.com/office/excel/2006/main">
          <x14:cfRule type="dataBar" id="{9F80AB95-D470-45AF-B9C4-79C82AFFAD33}">
            <x14:dataBar minLength="0" maxLength="100" border="1" negativeBarBorderColorSameAsPositive="0">
              <x14:cfvo type="autoMin"/>
              <x14:cfvo type="autoMax"/>
              <x14:borderColor rgb="FF63C384"/>
              <x14:negativeFillColor rgb="FFFF0000"/>
              <x14:negativeBorderColor rgb="FFFF0000"/>
              <x14:axisColor rgb="FF000000"/>
            </x14:dataBar>
          </x14:cfRule>
          <xm:sqref>S18:S23</xm:sqref>
        </x14:conditionalFormatting>
        <x14:conditionalFormatting xmlns:xm="http://schemas.microsoft.com/office/excel/2006/main">
          <x14:cfRule type="dataBar" id="{DC8BAEC0-FDE4-440B-83DF-5AFB44519E36}">
            <x14:dataBar minLength="0" maxLength="100" border="1" negativeBarBorderColorSameAsPositive="0">
              <x14:cfvo type="autoMin"/>
              <x14:cfvo type="autoMax"/>
              <x14:borderColor rgb="FF63C384"/>
              <x14:negativeFillColor rgb="FFFF0000"/>
              <x14:negativeBorderColor rgb="FFFF0000"/>
              <x14:axisColor rgb="FF000000"/>
            </x14:dataBar>
          </x14:cfRule>
          <xm:sqref>S19:S23</xm:sqref>
        </x14:conditionalFormatting>
        <x14:conditionalFormatting xmlns:xm="http://schemas.microsoft.com/office/excel/2006/main">
          <x14:cfRule type="dataBar" id="{7CF3E2C2-A6EC-473F-B571-7300A78C7C75}">
            <x14:dataBar minLength="0" maxLength="100" border="1" negativeBarBorderColorSameAsPositive="0">
              <x14:cfvo type="autoMin"/>
              <x14:cfvo type="autoMax"/>
              <x14:borderColor rgb="FF63C384"/>
              <x14:negativeFillColor rgb="FFFF0000"/>
              <x14:negativeBorderColor rgb="FFFF0000"/>
              <x14:axisColor rgb="FF000000"/>
            </x14:dataBar>
          </x14:cfRule>
          <xm:sqref>S27</xm:sqref>
        </x14:conditionalFormatting>
        <x14:conditionalFormatting xmlns:xm="http://schemas.microsoft.com/office/excel/2006/main">
          <x14:cfRule type="dataBar" id="{FE7640F8-C2B3-4AD2-A010-C839E16B2F3F}">
            <x14:dataBar minLength="0" maxLength="100" border="1" negativeBarBorderColorSameAsPositive="0">
              <x14:cfvo type="autoMin"/>
              <x14:cfvo type="autoMax"/>
              <x14:borderColor rgb="FF63C384"/>
              <x14:negativeFillColor rgb="FFFF0000"/>
              <x14:negativeBorderColor rgb="FFFF0000"/>
              <x14:axisColor rgb="FF000000"/>
            </x14:dataBar>
          </x14:cfRule>
          <xm:sqref>S27:S30</xm:sqref>
        </x14:conditionalFormatting>
        <x14:conditionalFormatting xmlns:xm="http://schemas.microsoft.com/office/excel/2006/main">
          <x14:cfRule type="dataBar" id="{D00C4AA1-B5A8-4074-98BE-93373572DD65}">
            <x14:dataBar minLength="0" maxLength="100" border="1" negativeBarBorderColorSameAsPositive="0">
              <x14:cfvo type="autoMin"/>
              <x14:cfvo type="autoMax"/>
              <x14:borderColor rgb="FF63C384"/>
              <x14:negativeFillColor rgb="FFFF0000"/>
              <x14:negativeBorderColor rgb="FFFF0000"/>
              <x14:axisColor rgb="FF000000"/>
            </x14:dataBar>
          </x14:cfRule>
          <xm:sqref>S28:S31</xm:sqref>
        </x14:conditionalFormatting>
        <x14:conditionalFormatting xmlns:xm="http://schemas.microsoft.com/office/excel/2006/main">
          <x14:cfRule type="dataBar" id="{4C20178A-8822-4F71-95A2-825E4912D916}">
            <x14:dataBar minLength="0" maxLength="100" border="1" negativeBarBorderColorSameAsPositive="0">
              <x14:cfvo type="autoMin"/>
              <x14:cfvo type="autoMax"/>
              <x14:borderColor rgb="FF63C384"/>
              <x14:negativeFillColor rgb="FFFF0000"/>
              <x14:negativeBorderColor rgb="FFFF0000"/>
              <x14:axisColor rgb="FF000000"/>
            </x14:dataBar>
          </x14:cfRule>
          <xm:sqref>S34</xm:sqref>
        </x14:conditionalFormatting>
        <x14:conditionalFormatting xmlns:xm="http://schemas.microsoft.com/office/excel/2006/main">
          <x14:cfRule type="dataBar" id="{F26E28AB-5E10-449B-AC78-2CB9DD85AFA1}">
            <x14:dataBar minLength="0" maxLength="100" border="1" negativeBarBorderColorSameAsPositive="0">
              <x14:cfvo type="autoMin"/>
              <x14:cfvo type="autoMax"/>
              <x14:borderColor rgb="FF63C384"/>
              <x14:negativeFillColor rgb="FFFF0000"/>
              <x14:negativeBorderColor rgb="FFFF0000"/>
              <x14:axisColor rgb="FF000000"/>
            </x14:dataBar>
          </x14:cfRule>
          <xm:sqref>S34:S35</xm:sqref>
        </x14:conditionalFormatting>
        <x14:conditionalFormatting xmlns:xm="http://schemas.microsoft.com/office/excel/2006/main">
          <x14:cfRule type="dataBar" id="{401679FD-1576-450A-852D-E29F33CBA855}">
            <x14:dataBar minLength="0" maxLength="100" border="1" negativeBarBorderColorSameAsPositive="0">
              <x14:cfvo type="autoMin"/>
              <x14:cfvo type="autoMax"/>
              <x14:borderColor rgb="FF63C384"/>
              <x14:negativeFillColor rgb="FFFF0000"/>
              <x14:negativeBorderColor rgb="FFFF0000"/>
              <x14:axisColor rgb="FF000000"/>
            </x14:dataBar>
          </x14:cfRule>
          <xm:sqref>S35</xm:sqref>
        </x14:conditionalFormatting>
        <x14:conditionalFormatting xmlns:xm="http://schemas.microsoft.com/office/excel/2006/main">
          <x14:cfRule type="dataBar" id="{6EB9C003-C073-4096-87D9-FC6284DF7A28}">
            <x14:dataBar minLength="0" maxLength="100" border="1" negativeBarBorderColorSameAsPositive="0">
              <x14:cfvo type="autoMin"/>
              <x14:cfvo type="autoMax"/>
              <x14:borderColor rgb="FF63C384"/>
              <x14:negativeFillColor rgb="FFFF0000"/>
              <x14:negativeBorderColor rgb="FFFF0000"/>
              <x14:axisColor rgb="FF000000"/>
            </x14:dataBar>
          </x14:cfRule>
          <xm:sqref>S39</xm:sqref>
        </x14:conditionalFormatting>
        <x14:conditionalFormatting xmlns:xm="http://schemas.microsoft.com/office/excel/2006/main">
          <x14:cfRule type="dataBar" id="{9F48F50A-E4C3-432B-8CDA-F792C48C07F0}">
            <x14:dataBar minLength="0" maxLength="100" border="1" negativeBarBorderColorSameAsPositive="0">
              <x14:cfvo type="autoMin"/>
              <x14:cfvo type="autoMax"/>
              <x14:borderColor rgb="FF63C384"/>
              <x14:negativeFillColor rgb="FFFF0000"/>
              <x14:negativeBorderColor rgb="FFFF0000"/>
              <x14:axisColor rgb="FF000000"/>
            </x14:dataBar>
          </x14:cfRule>
          <xm:sqref>S39:S42</xm:sqref>
        </x14:conditionalFormatting>
        <x14:conditionalFormatting xmlns:xm="http://schemas.microsoft.com/office/excel/2006/main">
          <x14:cfRule type="dataBar" id="{6D066799-6417-4574-8EBB-0D979B97D043}">
            <x14:dataBar minLength="0" maxLength="100" border="1" negativeBarBorderColorSameAsPositive="0">
              <x14:cfvo type="autoMin"/>
              <x14:cfvo type="autoMax"/>
              <x14:borderColor rgb="FF63C384"/>
              <x14:negativeFillColor rgb="FFFF0000"/>
              <x14:negativeBorderColor rgb="FFFF0000"/>
              <x14:axisColor rgb="FF000000"/>
            </x14:dataBar>
          </x14:cfRule>
          <xm:sqref>S40:S42</xm:sqref>
        </x14:conditionalFormatting>
        <x14:conditionalFormatting xmlns:xm="http://schemas.microsoft.com/office/excel/2006/main">
          <x14:cfRule type="dataBar" id="{6738DFC9-B912-47E0-B105-88D07925C3B1}">
            <x14:dataBar minLength="0" maxLength="100" border="1" negativeBarBorderColorSameAsPositive="0">
              <x14:cfvo type="autoMin"/>
              <x14:cfvo type="autoMax"/>
              <x14:borderColor rgb="FF63C384"/>
              <x14:negativeFillColor rgb="FFFF0000"/>
              <x14:negativeBorderColor rgb="FFFF0000"/>
              <x14:axisColor rgb="FF000000"/>
            </x14:dataBar>
          </x14:cfRule>
          <xm:sqref>S46</xm:sqref>
        </x14:conditionalFormatting>
        <x14:conditionalFormatting xmlns:xm="http://schemas.microsoft.com/office/excel/2006/main">
          <x14:cfRule type="dataBar" id="{E57FBE1B-4F8A-41FF-AB86-DEDF9F7EF923}">
            <x14:dataBar minLength="0" maxLength="100" border="1" negativeBarBorderColorSameAsPositive="0">
              <x14:cfvo type="autoMin"/>
              <x14:cfvo type="autoMax"/>
              <x14:borderColor rgb="FF63C384"/>
              <x14:negativeFillColor rgb="FFFF0000"/>
              <x14:negativeBorderColor rgb="FFFF0000"/>
              <x14:axisColor rgb="FF000000"/>
            </x14:dataBar>
          </x14:cfRule>
          <xm:sqref>S46:S48</xm:sqref>
        </x14:conditionalFormatting>
        <x14:conditionalFormatting xmlns:xm="http://schemas.microsoft.com/office/excel/2006/main">
          <x14:cfRule type="dataBar" id="{D14358B9-ADD2-418D-9BB6-64872F8C7A39}">
            <x14:dataBar minLength="0" maxLength="100" border="1" negativeBarBorderColorSameAsPositive="0">
              <x14:cfvo type="autoMin"/>
              <x14:cfvo type="autoMax"/>
              <x14:borderColor rgb="FF63C384"/>
              <x14:negativeFillColor rgb="FFFF0000"/>
              <x14:negativeBorderColor rgb="FFFF0000"/>
              <x14:axisColor rgb="FF000000"/>
            </x14:dataBar>
          </x14:cfRule>
          <xm:sqref>S47:S48</xm:sqref>
        </x14:conditionalFormatting>
        <x14:conditionalFormatting xmlns:xm="http://schemas.microsoft.com/office/excel/2006/main">
          <x14:cfRule type="dataBar" id="{EC355452-63A6-46E0-BE80-092C8FF2C50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7DAF93A-8FAF-4EE0-9027-9009F7028095}">
            <x14:dataBar minLength="0" maxLength="100" border="1" negativeBarBorderColorSameAsPositive="0">
              <x14:cfvo type="autoMin"/>
              <x14:cfvo type="autoMax"/>
              <x14:borderColor rgb="FF63C384"/>
              <x14:negativeFillColor rgb="FFFF0000"/>
              <x14:negativeBorderColor rgb="FFFF0000"/>
              <x14:axisColor rgb="FF000000"/>
            </x14:dataBar>
          </x14:cfRule>
          <xm:sqref>AA4</xm:sqref>
        </x14:conditionalFormatting>
        <x14:conditionalFormatting xmlns:xm="http://schemas.microsoft.com/office/excel/2006/main">
          <x14:cfRule type="dataBar" id="{B1B882EF-5486-4DFF-9B53-951E3F872DD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692906E-034A-4934-AF24-91C424920512}">
            <x14:dataBar minLength="0" maxLength="100" border="1" negativeBarBorderColorSameAsPositive="0">
              <x14:cfvo type="autoMin"/>
              <x14:cfvo type="autoMax"/>
              <x14:borderColor rgb="FF63C384"/>
              <x14:negativeFillColor rgb="FFFF0000"/>
              <x14:negativeBorderColor rgb="FFFF0000"/>
              <x14:axisColor rgb="FF000000"/>
            </x14:dataBar>
          </x14:cfRule>
          <xm:sqref>AA5:AA14</xm:sqref>
        </x14:conditionalFormatting>
        <x14:conditionalFormatting xmlns:xm="http://schemas.microsoft.com/office/excel/2006/main">
          <x14:cfRule type="dataBar" id="{3F5A7A83-8D20-4545-9B9F-E080A09C83B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832786E-A59D-4111-8846-F6830BC6A59B}">
            <x14:dataBar minLength="0" maxLength="100" border="1" negativeBarBorderColorSameAsPositive="0">
              <x14:cfvo type="autoMin"/>
              <x14:cfvo type="autoMax"/>
              <x14:borderColor rgb="FF63C384"/>
              <x14:negativeFillColor rgb="FFFF0000"/>
              <x14:negativeBorderColor rgb="FFFF0000"/>
              <x14:axisColor rgb="FF000000"/>
            </x14:dataBar>
          </x14:cfRule>
          <xm:sqref>AA18</xm:sqref>
        </x14:conditionalFormatting>
        <x14:conditionalFormatting xmlns:xm="http://schemas.microsoft.com/office/excel/2006/main">
          <x14:cfRule type="dataBar" id="{64D5E7AF-A5B6-4686-BAE5-5F406DE3063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F69FDF9-EB99-4A4D-A21A-252CC15CB590}">
            <x14:dataBar minLength="0" maxLength="100" border="1" negativeBarBorderColorSameAsPositive="0">
              <x14:cfvo type="autoMin"/>
              <x14:cfvo type="autoMax"/>
              <x14:borderColor rgb="FF63C384"/>
              <x14:negativeFillColor rgb="FFFF0000"/>
              <x14:negativeBorderColor rgb="FFFF0000"/>
              <x14:axisColor rgb="FF000000"/>
            </x14:dataBar>
          </x14:cfRule>
          <xm:sqref>AA19:AA23</xm:sqref>
        </x14:conditionalFormatting>
        <x14:conditionalFormatting xmlns:xm="http://schemas.microsoft.com/office/excel/2006/main">
          <x14:cfRule type="dataBar" id="{245212D8-B4B1-41B2-A4C3-D6FB6BEB07C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B2738E1-27D4-474D-B98A-DBE42BEE46BF}">
            <x14:dataBar minLength="0" maxLength="100" border="1" negativeBarBorderColorSameAsPositive="0">
              <x14:cfvo type="autoMin"/>
              <x14:cfvo type="autoMax"/>
              <x14:borderColor rgb="FF63C384"/>
              <x14:negativeFillColor rgb="FFFF0000"/>
              <x14:negativeBorderColor rgb="FFFF0000"/>
              <x14:axisColor rgb="FF000000"/>
            </x14:dataBar>
          </x14:cfRule>
          <xm:sqref>AA27</xm:sqref>
        </x14:conditionalFormatting>
        <x14:conditionalFormatting xmlns:xm="http://schemas.microsoft.com/office/excel/2006/main">
          <x14:cfRule type="dataBar" id="{AE8E75DD-B7D1-4F9D-A2FB-D0A22C172533}">
            <x14:dataBar minLength="0" maxLength="100" border="1" negativeBarBorderColorSameAsPositive="0">
              <x14:cfvo type="autoMin"/>
              <x14:cfvo type="autoMax"/>
              <x14:borderColor rgb="FF63C384"/>
              <x14:negativeFillColor rgb="FFFF0000"/>
              <x14:negativeBorderColor rgb="FFFF0000"/>
              <x14:axisColor rgb="FF000000"/>
            </x14:dataBar>
          </x14:cfRule>
          <xm:sqref>AA28:AA30</xm:sqref>
        </x14:conditionalFormatting>
        <x14:conditionalFormatting xmlns:xm="http://schemas.microsoft.com/office/excel/2006/main">
          <x14:cfRule type="dataBar" id="{74AEF6AA-0E98-4A9A-B944-701B582F1147}">
            <x14:dataBar minLength="0" maxLength="100" border="1" negativeBarBorderColorSameAsPositive="0">
              <x14:cfvo type="autoMin"/>
              <x14:cfvo type="autoMax"/>
              <x14:borderColor rgb="FF63C384"/>
              <x14:negativeFillColor rgb="FFFF0000"/>
              <x14:negativeBorderColor rgb="FFFF0000"/>
              <x14:axisColor rgb="FF000000"/>
            </x14:dataBar>
          </x14:cfRule>
          <xm:sqref>AA28:AA31</xm:sqref>
        </x14:conditionalFormatting>
        <x14:conditionalFormatting xmlns:xm="http://schemas.microsoft.com/office/excel/2006/main">
          <x14:cfRule type="dataBar" id="{42C449CB-4F6F-4988-8F59-356AFC68EFE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79F0766-EBC0-402B-B1AE-4297F61FB3B1}">
            <x14:dataBar minLength="0" maxLength="100" border="1" negativeBarBorderColorSameAsPositive="0">
              <x14:cfvo type="autoMin"/>
              <x14:cfvo type="autoMax"/>
              <x14:borderColor rgb="FF63C384"/>
              <x14:negativeFillColor rgb="FFFF0000"/>
              <x14:negativeBorderColor rgb="FFFF0000"/>
              <x14:axisColor rgb="FF000000"/>
            </x14:dataBar>
          </x14:cfRule>
          <xm:sqref>AA34</xm:sqref>
        </x14:conditionalFormatting>
        <x14:conditionalFormatting xmlns:xm="http://schemas.microsoft.com/office/excel/2006/main">
          <x14:cfRule type="dataBar" id="{B3419632-6184-412B-9AAF-E518E4A006B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FB5AA4E-96C8-407C-B0BF-BF2ACCA005BE}">
            <x14:dataBar minLength="0" maxLength="100" border="1" negativeBarBorderColorSameAsPositive="0">
              <x14:cfvo type="autoMin"/>
              <x14:cfvo type="autoMax"/>
              <x14:borderColor rgb="FF63C384"/>
              <x14:negativeFillColor rgb="FFFF0000"/>
              <x14:negativeBorderColor rgb="FFFF0000"/>
              <x14:axisColor rgb="FF000000"/>
            </x14:dataBar>
          </x14:cfRule>
          <xm:sqref>AA35</xm:sqref>
        </x14:conditionalFormatting>
        <x14:conditionalFormatting xmlns:xm="http://schemas.microsoft.com/office/excel/2006/main">
          <x14:cfRule type="dataBar" id="{37A1893A-BDB3-4999-A2D7-2E9445D1052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075A649-8666-4042-B53B-B330AE3E3561}">
            <x14:dataBar minLength="0" maxLength="100" border="1" negativeBarBorderColorSameAsPositive="0">
              <x14:cfvo type="autoMin"/>
              <x14:cfvo type="autoMax"/>
              <x14:borderColor rgb="FF63C384"/>
              <x14:negativeFillColor rgb="FFFF0000"/>
              <x14:negativeBorderColor rgb="FFFF0000"/>
              <x14:axisColor rgb="FF000000"/>
            </x14:dataBar>
          </x14:cfRule>
          <xm:sqref>AA39</xm:sqref>
        </x14:conditionalFormatting>
        <x14:conditionalFormatting xmlns:xm="http://schemas.microsoft.com/office/excel/2006/main">
          <x14:cfRule type="dataBar" id="{DCAB6944-0887-4E7A-A642-04C54B31CD2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167AFD-B8D4-4429-9A22-2877E5CE6C96}">
            <x14:dataBar minLength="0" maxLength="100" border="1" negativeBarBorderColorSameAsPositive="0">
              <x14:cfvo type="autoMin"/>
              <x14:cfvo type="autoMax"/>
              <x14:borderColor rgb="FF63C384"/>
              <x14:negativeFillColor rgb="FFFF0000"/>
              <x14:negativeBorderColor rgb="FFFF0000"/>
              <x14:axisColor rgb="FF000000"/>
            </x14:dataBar>
          </x14:cfRule>
          <xm:sqref>AA40:AA42</xm:sqref>
        </x14:conditionalFormatting>
        <x14:conditionalFormatting xmlns:xm="http://schemas.microsoft.com/office/excel/2006/main">
          <x14:cfRule type="dataBar" id="{6CC07097-2A56-4B45-862B-64572E31C53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4CAA69D-A17F-4F96-939F-DC01A1CCD1B8}">
            <x14:dataBar minLength="0" maxLength="100" border="1" negativeBarBorderColorSameAsPositive="0">
              <x14:cfvo type="autoMin"/>
              <x14:cfvo type="autoMax"/>
              <x14:borderColor rgb="FF63C384"/>
              <x14:negativeFillColor rgb="FFFF0000"/>
              <x14:negativeBorderColor rgb="FFFF0000"/>
              <x14:axisColor rgb="FF000000"/>
            </x14:dataBar>
          </x14:cfRule>
          <xm:sqref>AA46</xm:sqref>
        </x14:conditionalFormatting>
        <x14:conditionalFormatting xmlns:xm="http://schemas.microsoft.com/office/excel/2006/main">
          <x14:cfRule type="dataBar" id="{105C2553-3CCF-4832-9FFA-128290D6C81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7EF046F-D975-49D2-880D-86936BC747AD}">
            <x14:dataBar minLength="0" maxLength="100" border="1" negativeBarBorderColorSameAsPositive="0">
              <x14:cfvo type="autoMin"/>
              <x14:cfvo type="autoMax"/>
              <x14:borderColor rgb="FF63C384"/>
              <x14:negativeFillColor rgb="FFFF0000"/>
              <x14:negativeBorderColor rgb="FFFF0000"/>
              <x14:axisColor rgb="FF000000"/>
            </x14:dataBar>
          </x14:cfRule>
          <xm:sqref>AA47:AA48</xm:sqref>
        </x14:conditionalFormatting>
        <x14:conditionalFormatting xmlns:xm="http://schemas.microsoft.com/office/excel/2006/main">
          <x14:cfRule type="dataBar" id="{0277DBA8-FF05-4B14-BDA2-4B6CB9E106A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388D8C4-BE45-4B56-897C-FBA911633C69}">
            <x14:dataBar minLength="0" maxLength="100" border="1" negativeBarBorderColorSameAsPositive="0">
              <x14:cfvo type="autoMin"/>
              <x14:cfvo type="autoMax"/>
              <x14:borderColor rgb="FF63C384"/>
              <x14:negativeFillColor rgb="FFFF0000"/>
              <x14:negativeBorderColor rgb="FFFF0000"/>
              <x14:axisColor rgb="FF000000"/>
            </x14:dataBar>
          </x14:cfRule>
          <xm:sqref>AI4</xm:sqref>
        </x14:conditionalFormatting>
        <x14:conditionalFormatting xmlns:xm="http://schemas.microsoft.com/office/excel/2006/main">
          <x14:cfRule type="dataBar" id="{FDE92886-CA8C-4214-A09B-BBD2AE45191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48FB722-E863-408D-B14A-186859B3D99E}">
            <x14:dataBar minLength="0" maxLength="100" border="1" negativeBarBorderColorSameAsPositive="0">
              <x14:cfvo type="autoMin"/>
              <x14:cfvo type="autoMax"/>
              <x14:borderColor rgb="FF63C384"/>
              <x14:negativeFillColor rgb="FFFF0000"/>
              <x14:negativeBorderColor rgb="FFFF0000"/>
              <x14:axisColor rgb="FF000000"/>
            </x14:dataBar>
          </x14:cfRule>
          <xm:sqref>AI5:AI14</xm:sqref>
        </x14:conditionalFormatting>
        <x14:conditionalFormatting xmlns:xm="http://schemas.microsoft.com/office/excel/2006/main">
          <x14:cfRule type="dataBar" id="{78347D88-4715-49DD-998D-B784725BBB1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039242D-2AE6-4D03-8E2B-5E523E0561FD}">
            <x14:dataBar minLength="0" maxLength="100" border="1" negativeBarBorderColorSameAsPositive="0">
              <x14:cfvo type="autoMin"/>
              <x14:cfvo type="autoMax"/>
              <x14:borderColor rgb="FF63C384"/>
              <x14:negativeFillColor rgb="FFFF0000"/>
              <x14:negativeBorderColor rgb="FFFF0000"/>
              <x14:axisColor rgb="FF000000"/>
            </x14:dataBar>
          </x14:cfRule>
          <xm:sqref>AI18</xm:sqref>
        </x14:conditionalFormatting>
        <x14:conditionalFormatting xmlns:xm="http://schemas.microsoft.com/office/excel/2006/main">
          <x14:cfRule type="dataBar" id="{E3EC1DA8-8474-4F00-BB80-CFDEE03B7EC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766C694-3EE3-4258-82A9-F9204F191127}">
            <x14:dataBar minLength="0" maxLength="100" border="1" negativeBarBorderColorSameAsPositive="0">
              <x14:cfvo type="autoMin"/>
              <x14:cfvo type="autoMax"/>
              <x14:borderColor rgb="FF63C384"/>
              <x14:negativeFillColor rgb="FFFF0000"/>
              <x14:negativeBorderColor rgb="FFFF0000"/>
              <x14:axisColor rgb="FF000000"/>
            </x14:dataBar>
          </x14:cfRule>
          <xm:sqref>AI19:AI23</xm:sqref>
        </x14:conditionalFormatting>
        <x14:conditionalFormatting xmlns:xm="http://schemas.microsoft.com/office/excel/2006/main">
          <x14:cfRule type="dataBar" id="{392BFB54-5FE1-4C6C-8BDE-60DCAFBCD2C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B1E819C-B997-4311-B10D-43FE62C2B280}">
            <x14:dataBar minLength="0" maxLength="100" border="1" negativeBarBorderColorSameAsPositive="0">
              <x14:cfvo type="autoMin"/>
              <x14:cfvo type="autoMax"/>
              <x14:borderColor rgb="FF63C384"/>
              <x14:negativeFillColor rgb="FFFF0000"/>
              <x14:negativeBorderColor rgb="FFFF0000"/>
              <x14:axisColor rgb="FF000000"/>
            </x14:dataBar>
          </x14:cfRule>
          <xm:sqref>AI27</xm:sqref>
        </x14:conditionalFormatting>
        <x14:conditionalFormatting xmlns:xm="http://schemas.microsoft.com/office/excel/2006/main">
          <x14:cfRule type="dataBar" id="{7110B4DA-533E-4B35-A28C-0152B8190D1A}">
            <x14:dataBar minLength="0" maxLength="100" border="1" negativeBarBorderColorSameAsPositive="0">
              <x14:cfvo type="autoMin"/>
              <x14:cfvo type="autoMax"/>
              <x14:borderColor rgb="FF63C384"/>
              <x14:negativeFillColor rgb="FFFF0000"/>
              <x14:negativeBorderColor rgb="FFFF0000"/>
              <x14:axisColor rgb="FF000000"/>
            </x14:dataBar>
          </x14:cfRule>
          <xm:sqref>AI28:AI30</xm:sqref>
        </x14:conditionalFormatting>
        <x14:conditionalFormatting xmlns:xm="http://schemas.microsoft.com/office/excel/2006/main">
          <x14:cfRule type="dataBar" id="{02B2FAF9-08B0-4989-B931-5A022BEB0FAD}">
            <x14:dataBar minLength="0" maxLength="100" border="1" negativeBarBorderColorSameAsPositive="0">
              <x14:cfvo type="autoMin"/>
              <x14:cfvo type="autoMax"/>
              <x14:borderColor rgb="FF63C384"/>
              <x14:negativeFillColor rgb="FFFF0000"/>
              <x14:negativeBorderColor rgb="FFFF0000"/>
              <x14:axisColor rgb="FF000000"/>
            </x14:dataBar>
          </x14:cfRule>
          <xm:sqref>AI28:AI31</xm:sqref>
        </x14:conditionalFormatting>
        <x14:conditionalFormatting xmlns:xm="http://schemas.microsoft.com/office/excel/2006/main">
          <x14:cfRule type="dataBar" id="{7E944F87-C93D-4EAA-A8C9-33F3D165CA1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4AB2EE9-8441-499A-9781-56A2D16FE96C}">
            <x14:dataBar minLength="0" maxLength="100" border="1" negativeBarBorderColorSameAsPositive="0">
              <x14:cfvo type="autoMin"/>
              <x14:cfvo type="autoMax"/>
              <x14:borderColor rgb="FF63C384"/>
              <x14:negativeFillColor rgb="FFFF0000"/>
              <x14:negativeBorderColor rgb="FFFF0000"/>
              <x14:axisColor rgb="FF000000"/>
            </x14:dataBar>
          </x14:cfRule>
          <xm:sqref>AI34</xm:sqref>
        </x14:conditionalFormatting>
        <x14:conditionalFormatting xmlns:xm="http://schemas.microsoft.com/office/excel/2006/main">
          <x14:cfRule type="dataBar" id="{3B4EE5A8-E89F-44DC-9E6F-A236603BD47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2A00D82-90AD-4BBC-8D3E-9813A53B896E}">
            <x14:dataBar minLength="0" maxLength="100" border="1" negativeBarBorderColorSameAsPositive="0">
              <x14:cfvo type="autoMin"/>
              <x14:cfvo type="autoMax"/>
              <x14:borderColor rgb="FF63C384"/>
              <x14:negativeFillColor rgb="FFFF0000"/>
              <x14:negativeBorderColor rgb="FFFF0000"/>
              <x14:axisColor rgb="FF000000"/>
            </x14:dataBar>
          </x14:cfRule>
          <xm:sqref>AI35</xm:sqref>
        </x14:conditionalFormatting>
        <x14:conditionalFormatting xmlns:xm="http://schemas.microsoft.com/office/excel/2006/main">
          <x14:cfRule type="dataBar" id="{B541A9FC-AA5E-4DBE-BF1A-B27C6479600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CBC0552-1971-4B09-A550-925A8C6EEF30}">
            <x14:dataBar minLength="0" maxLength="100" border="1" negativeBarBorderColorSameAsPositive="0">
              <x14:cfvo type="autoMin"/>
              <x14:cfvo type="autoMax"/>
              <x14:borderColor rgb="FF63C384"/>
              <x14:negativeFillColor rgb="FFFF0000"/>
              <x14:negativeBorderColor rgb="FFFF0000"/>
              <x14:axisColor rgb="FF000000"/>
            </x14:dataBar>
          </x14:cfRule>
          <xm:sqref>AI39</xm:sqref>
        </x14:conditionalFormatting>
        <x14:conditionalFormatting xmlns:xm="http://schemas.microsoft.com/office/excel/2006/main">
          <x14:cfRule type="dataBar" id="{A4C48B2E-4C18-471C-9942-71AF4FB0C08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8AA4B7-F956-49E7-B145-A5C14CEF04BE}">
            <x14:dataBar minLength="0" maxLength="100" border="1" negativeBarBorderColorSameAsPositive="0">
              <x14:cfvo type="autoMin"/>
              <x14:cfvo type="autoMax"/>
              <x14:borderColor rgb="FF63C384"/>
              <x14:negativeFillColor rgb="FFFF0000"/>
              <x14:negativeBorderColor rgb="FFFF0000"/>
              <x14:axisColor rgb="FF000000"/>
            </x14:dataBar>
          </x14:cfRule>
          <xm:sqref>AI40:AI42</xm:sqref>
        </x14:conditionalFormatting>
        <x14:conditionalFormatting xmlns:xm="http://schemas.microsoft.com/office/excel/2006/main">
          <x14:cfRule type="dataBar" id="{2FB31A80-44CB-4449-96EE-7912D72BAE8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073632B-4CBF-4193-B805-40CA3C45206D}">
            <x14:dataBar minLength="0" maxLength="100" border="1" negativeBarBorderColorSameAsPositive="0">
              <x14:cfvo type="autoMin"/>
              <x14:cfvo type="autoMax"/>
              <x14:borderColor rgb="FF63C384"/>
              <x14:negativeFillColor rgb="FFFF0000"/>
              <x14:negativeBorderColor rgb="FFFF0000"/>
              <x14:axisColor rgb="FF000000"/>
            </x14:dataBar>
          </x14:cfRule>
          <xm:sqref>AI46</xm:sqref>
        </x14:conditionalFormatting>
        <x14:conditionalFormatting xmlns:xm="http://schemas.microsoft.com/office/excel/2006/main">
          <x14:cfRule type="dataBar" id="{207BAE18-0A24-4B49-8767-FAD13BDB0C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34A35E8-346B-4CED-B1B8-1E88E07EB872}">
            <x14:dataBar minLength="0" maxLength="100" border="1" negativeBarBorderColorSameAsPositive="0">
              <x14:cfvo type="autoMin"/>
              <x14:cfvo type="autoMax"/>
              <x14:borderColor rgb="FF63C384"/>
              <x14:negativeFillColor rgb="FFFF0000"/>
              <x14:negativeBorderColor rgb="FFFF0000"/>
              <x14:axisColor rgb="FF000000"/>
            </x14:dataBar>
          </x14:cfRule>
          <xm:sqref>AI47:AI48</xm:sqref>
        </x14:conditionalFormatting>
        <x14:conditionalFormatting xmlns:xm="http://schemas.microsoft.com/office/excel/2006/main">
          <x14:cfRule type="dataBar" id="{17067C46-0261-4A36-9679-484161135A3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9D47F05-AE9F-484D-9BDF-23C33A8C88AF}">
            <x14:dataBar minLength="0" maxLength="100" border="1" negativeBarBorderColorSameAsPositive="0">
              <x14:cfvo type="autoMin"/>
              <x14:cfvo type="autoMax"/>
              <x14:borderColor rgb="FF63C384"/>
              <x14:negativeFillColor rgb="FFFF0000"/>
              <x14:negativeBorderColor rgb="FFFF0000"/>
              <x14:axisColor rgb="FF000000"/>
            </x14:dataBar>
          </x14:cfRule>
          <xm:sqref>AQ4</xm:sqref>
        </x14:conditionalFormatting>
        <x14:conditionalFormatting xmlns:xm="http://schemas.microsoft.com/office/excel/2006/main">
          <x14:cfRule type="dataBar" id="{3B4FED88-6994-4E83-87EB-BAC0201DFDA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21C8BC-659E-4C9E-9AF6-E4D90F79F955}">
            <x14:dataBar minLength="0" maxLength="100" border="1" negativeBarBorderColorSameAsPositive="0">
              <x14:cfvo type="autoMin"/>
              <x14:cfvo type="autoMax"/>
              <x14:borderColor rgb="FF63C384"/>
              <x14:negativeFillColor rgb="FFFF0000"/>
              <x14:negativeBorderColor rgb="FFFF0000"/>
              <x14:axisColor rgb="FF000000"/>
            </x14:dataBar>
          </x14:cfRule>
          <xm:sqref>AQ5:AQ14</xm:sqref>
        </x14:conditionalFormatting>
        <x14:conditionalFormatting xmlns:xm="http://schemas.microsoft.com/office/excel/2006/main">
          <x14:cfRule type="dataBar" id="{5FB5314D-69F5-4A13-9700-A388A24C0A9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ED41135-B4BF-46B5-B91E-1073E57BA5B1}">
            <x14:dataBar minLength="0" maxLength="100" border="1" negativeBarBorderColorSameAsPositive="0">
              <x14:cfvo type="autoMin"/>
              <x14:cfvo type="autoMax"/>
              <x14:borderColor rgb="FF63C384"/>
              <x14:negativeFillColor rgb="FFFF0000"/>
              <x14:negativeBorderColor rgb="FFFF0000"/>
              <x14:axisColor rgb="FF000000"/>
            </x14:dataBar>
          </x14:cfRule>
          <xm:sqref>AQ18:AQ23</xm:sqref>
        </x14:conditionalFormatting>
        <x14:conditionalFormatting xmlns:xm="http://schemas.microsoft.com/office/excel/2006/main">
          <x14:cfRule type="dataBar" id="{5E447942-41CA-4CDF-B7F5-C98402CFDA2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BDB2FAD-ED59-4441-BE56-5AAAD0F28393}">
            <x14:dataBar minLength="0" maxLength="100" border="1" negativeBarBorderColorSameAsPositive="0">
              <x14:cfvo type="autoMin"/>
              <x14:cfvo type="autoMax"/>
              <x14:borderColor rgb="FF63C384"/>
              <x14:negativeFillColor rgb="FFFF0000"/>
              <x14:negativeBorderColor rgb="FFFF0000"/>
              <x14:axisColor rgb="FF000000"/>
            </x14:dataBar>
          </x14:cfRule>
          <xm:sqref>AQ27</xm:sqref>
        </x14:conditionalFormatting>
        <x14:conditionalFormatting xmlns:xm="http://schemas.microsoft.com/office/excel/2006/main">
          <x14:cfRule type="dataBar" id="{AC3B68F3-4948-4AD0-9142-BAE3A811C381}">
            <x14:dataBar minLength="0" maxLength="100" border="1" negativeBarBorderColorSameAsPositive="0">
              <x14:cfvo type="autoMin"/>
              <x14:cfvo type="autoMax"/>
              <x14:borderColor rgb="FF63C384"/>
              <x14:negativeFillColor rgb="FFFF0000"/>
              <x14:negativeBorderColor rgb="FFFF0000"/>
              <x14:axisColor rgb="FF000000"/>
            </x14:dataBar>
          </x14:cfRule>
          <xm:sqref>AQ28:AQ30</xm:sqref>
        </x14:conditionalFormatting>
        <x14:conditionalFormatting xmlns:xm="http://schemas.microsoft.com/office/excel/2006/main">
          <x14:cfRule type="dataBar" id="{756AB3D8-5424-490C-8532-B1366D0B80BC}">
            <x14:dataBar minLength="0" maxLength="100" border="1" negativeBarBorderColorSameAsPositive="0">
              <x14:cfvo type="autoMin"/>
              <x14:cfvo type="autoMax"/>
              <x14:borderColor rgb="FF63C384"/>
              <x14:negativeFillColor rgb="FFFF0000"/>
              <x14:negativeBorderColor rgb="FFFF0000"/>
              <x14:axisColor rgb="FF000000"/>
            </x14:dataBar>
          </x14:cfRule>
          <xm:sqref>AQ28:AQ31</xm:sqref>
        </x14:conditionalFormatting>
        <x14:conditionalFormatting xmlns:xm="http://schemas.microsoft.com/office/excel/2006/main">
          <x14:cfRule type="dataBar" id="{C785ED70-55FD-4059-A4FF-54D609C4226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1320BB1-D07B-47AC-872C-6184517F1A84}">
            <x14:dataBar minLength="0" maxLength="100" border="1" negativeBarBorderColorSameAsPositive="0">
              <x14:cfvo type="autoMin"/>
              <x14:cfvo type="autoMax"/>
              <x14:borderColor rgb="FF63C384"/>
              <x14:negativeFillColor rgb="FFFF0000"/>
              <x14:negativeBorderColor rgb="FFFF0000"/>
              <x14:axisColor rgb="FF000000"/>
            </x14:dataBar>
          </x14:cfRule>
          <xm:sqref>AQ34</xm:sqref>
        </x14:conditionalFormatting>
        <x14:conditionalFormatting xmlns:xm="http://schemas.microsoft.com/office/excel/2006/main">
          <x14:cfRule type="dataBar" id="{60629C9D-4D1F-4806-9091-AE0B250882B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16681E8-7DFC-40AE-9257-711E7E879C7E}">
            <x14:dataBar minLength="0" maxLength="100" border="1" negativeBarBorderColorSameAsPositive="0">
              <x14:cfvo type="autoMin"/>
              <x14:cfvo type="autoMax"/>
              <x14:borderColor rgb="FF63C384"/>
              <x14:negativeFillColor rgb="FFFF0000"/>
              <x14:negativeBorderColor rgb="FFFF0000"/>
              <x14:axisColor rgb="FF000000"/>
            </x14:dataBar>
          </x14:cfRule>
          <xm:sqref>AQ35</xm:sqref>
        </x14:conditionalFormatting>
        <x14:conditionalFormatting xmlns:xm="http://schemas.microsoft.com/office/excel/2006/main">
          <x14:cfRule type="dataBar" id="{2E09AEA5-3CCC-47DE-BA65-56E18E25355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1B16A18-E6C8-4E17-B1FB-151B8205B274}">
            <x14:dataBar minLength="0" maxLength="100" border="1" negativeBarBorderColorSameAsPositive="0">
              <x14:cfvo type="autoMin"/>
              <x14:cfvo type="autoMax"/>
              <x14:borderColor rgb="FF63C384"/>
              <x14:negativeFillColor rgb="FFFF0000"/>
              <x14:negativeBorderColor rgb="FFFF0000"/>
              <x14:axisColor rgb="FF000000"/>
            </x14:dataBar>
          </x14:cfRule>
          <xm:sqref>AQ39</xm:sqref>
        </x14:conditionalFormatting>
        <x14:conditionalFormatting xmlns:xm="http://schemas.microsoft.com/office/excel/2006/main">
          <x14:cfRule type="dataBar" id="{0733897D-FB3C-4004-B2FC-C32AB107584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02BF7BB-1832-4E7C-97E3-31B8416C2F40}">
            <x14:dataBar minLength="0" maxLength="100" border="1" negativeBarBorderColorSameAsPositive="0">
              <x14:cfvo type="autoMin"/>
              <x14:cfvo type="autoMax"/>
              <x14:borderColor rgb="FF63C384"/>
              <x14:negativeFillColor rgb="FFFF0000"/>
              <x14:negativeBorderColor rgb="FFFF0000"/>
              <x14:axisColor rgb="FF000000"/>
            </x14:dataBar>
          </x14:cfRule>
          <xm:sqref>AQ40:AQ42</xm:sqref>
        </x14:conditionalFormatting>
        <x14:conditionalFormatting xmlns:xm="http://schemas.microsoft.com/office/excel/2006/main">
          <x14:cfRule type="dataBar" id="{FA5EFAA2-4D2E-434D-BDFB-1507AB605D6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8F7DCF9-EFBB-43C8-8E8B-9C8BC952B4D3}">
            <x14:dataBar minLength="0" maxLength="100" border="1" negativeBarBorderColorSameAsPositive="0">
              <x14:cfvo type="autoMin"/>
              <x14:cfvo type="autoMax"/>
              <x14:borderColor rgb="FF63C384"/>
              <x14:negativeFillColor rgb="FFFF0000"/>
              <x14:negativeBorderColor rgb="FFFF0000"/>
              <x14:axisColor rgb="FF000000"/>
            </x14:dataBar>
          </x14:cfRule>
          <xm:sqref>AQ46</xm:sqref>
        </x14:conditionalFormatting>
        <x14:conditionalFormatting xmlns:xm="http://schemas.microsoft.com/office/excel/2006/main">
          <x14:cfRule type="dataBar" id="{F4F44D83-3C4D-49F9-90F1-EA2C77745E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F0C21C-5B22-455A-A67F-B22A71F883AC}">
            <x14:dataBar minLength="0" maxLength="100" border="1" negativeBarBorderColorSameAsPositive="0">
              <x14:cfvo type="autoMin"/>
              <x14:cfvo type="autoMax"/>
              <x14:borderColor rgb="FF63C384"/>
              <x14:negativeFillColor rgb="FFFF0000"/>
              <x14:negativeBorderColor rgb="FFFF0000"/>
              <x14:axisColor rgb="FF000000"/>
            </x14:dataBar>
          </x14:cfRule>
          <xm:sqref>AQ47:AQ48</xm:sqref>
        </x14:conditionalFormatting>
        <x14:conditionalFormatting xmlns:xm="http://schemas.microsoft.com/office/excel/2006/main">
          <x14:cfRule type="dataBar" id="{6E19B941-53E3-4D17-AC87-C35B8987776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AFDF257-F05F-451B-9497-A20300402201}">
            <x14:dataBar minLength="0" maxLength="100" border="1" negativeBarBorderColorSameAsPositive="0">
              <x14:cfvo type="autoMin"/>
              <x14:cfvo type="autoMax"/>
              <x14:borderColor rgb="FF63C384"/>
              <x14:negativeFillColor rgb="FFFF0000"/>
              <x14:negativeBorderColor rgb="FFFF0000"/>
              <x14:axisColor rgb="FF000000"/>
            </x14:dataBar>
          </x14:cfRule>
          <xm:sqref>AY4</xm:sqref>
        </x14:conditionalFormatting>
        <x14:conditionalFormatting xmlns:xm="http://schemas.microsoft.com/office/excel/2006/main">
          <x14:cfRule type="dataBar" id="{4E5F4E5E-2248-4CF9-A152-A15F597BFFD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89F5200-CBCD-49AF-A777-1BBD1A4CED2C}">
            <x14:dataBar minLength="0" maxLength="100" border="1" negativeBarBorderColorSameAsPositive="0">
              <x14:cfvo type="autoMin"/>
              <x14:cfvo type="autoMax"/>
              <x14:borderColor rgb="FF63C384"/>
              <x14:negativeFillColor rgb="FFFF0000"/>
              <x14:negativeBorderColor rgb="FFFF0000"/>
              <x14:axisColor rgb="FF000000"/>
            </x14:dataBar>
          </x14:cfRule>
          <xm:sqref>AY5:AY14</xm:sqref>
        </x14:conditionalFormatting>
        <x14:conditionalFormatting xmlns:xm="http://schemas.microsoft.com/office/excel/2006/main">
          <x14:cfRule type="dataBar" id="{3109F632-E689-4F38-BFA1-5D1AC7B02F7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3F21A4-598B-4F51-B40E-C3461209B9CB}">
            <x14:dataBar minLength="0" maxLength="100" border="1" negativeBarBorderColorSameAsPositive="0">
              <x14:cfvo type="autoMin"/>
              <x14:cfvo type="autoMax"/>
              <x14:borderColor rgb="FF63C384"/>
              <x14:negativeFillColor rgb="FFFF0000"/>
              <x14:negativeBorderColor rgb="FFFF0000"/>
              <x14:axisColor rgb="FF000000"/>
            </x14:dataBar>
          </x14:cfRule>
          <xm:sqref>AY18</xm:sqref>
        </x14:conditionalFormatting>
        <x14:conditionalFormatting xmlns:xm="http://schemas.microsoft.com/office/excel/2006/main">
          <x14:cfRule type="dataBar" id="{6721F14F-CBAB-433B-91AF-1CB62D29179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D9921D-61C5-4825-A9E7-C98F3792EA05}">
            <x14:dataBar minLength="0" maxLength="100" border="1" negativeBarBorderColorSameAsPositive="0">
              <x14:cfvo type="autoMin"/>
              <x14:cfvo type="autoMax"/>
              <x14:borderColor rgb="FF63C384"/>
              <x14:negativeFillColor rgb="FFFF0000"/>
              <x14:negativeBorderColor rgb="FFFF0000"/>
              <x14:axisColor rgb="FF000000"/>
            </x14:dataBar>
          </x14:cfRule>
          <xm:sqref>AY19:AY23</xm:sqref>
        </x14:conditionalFormatting>
        <x14:conditionalFormatting xmlns:xm="http://schemas.microsoft.com/office/excel/2006/main">
          <x14:cfRule type="dataBar" id="{99277F46-218D-4BDF-8B07-3F8819A490F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3111DCC-CE30-4DE6-97F5-2D7B7A87BC90}">
            <x14:dataBar minLength="0" maxLength="100" border="1" negativeBarBorderColorSameAsPositive="0">
              <x14:cfvo type="autoMin"/>
              <x14:cfvo type="autoMax"/>
              <x14:borderColor rgb="FF63C384"/>
              <x14:negativeFillColor rgb="FFFF0000"/>
              <x14:negativeBorderColor rgb="FFFF0000"/>
              <x14:axisColor rgb="FF000000"/>
            </x14:dataBar>
          </x14:cfRule>
          <xm:sqref>AY27</xm:sqref>
        </x14:conditionalFormatting>
        <x14:conditionalFormatting xmlns:xm="http://schemas.microsoft.com/office/excel/2006/main">
          <x14:cfRule type="dataBar" id="{5468B4A1-B69A-4679-9891-3F1763008F32}">
            <x14:dataBar minLength="0" maxLength="100" border="1" negativeBarBorderColorSameAsPositive="0">
              <x14:cfvo type="autoMin"/>
              <x14:cfvo type="autoMax"/>
              <x14:borderColor rgb="FF63C384"/>
              <x14:negativeFillColor rgb="FFFF0000"/>
              <x14:negativeBorderColor rgb="FFFF0000"/>
              <x14:axisColor rgb="FF000000"/>
            </x14:dataBar>
          </x14:cfRule>
          <xm:sqref>AY28:AY30</xm:sqref>
        </x14:conditionalFormatting>
        <x14:conditionalFormatting xmlns:xm="http://schemas.microsoft.com/office/excel/2006/main">
          <x14:cfRule type="dataBar" id="{EB937501-3B1A-4054-8428-6EF4649AF426}">
            <x14:dataBar minLength="0" maxLength="100" border="1" negativeBarBorderColorSameAsPositive="0">
              <x14:cfvo type="autoMin"/>
              <x14:cfvo type="autoMax"/>
              <x14:borderColor rgb="FF63C384"/>
              <x14:negativeFillColor rgb="FFFF0000"/>
              <x14:negativeBorderColor rgb="FFFF0000"/>
              <x14:axisColor rgb="FF000000"/>
            </x14:dataBar>
          </x14:cfRule>
          <xm:sqref>AY28:AY31</xm:sqref>
        </x14:conditionalFormatting>
        <x14:conditionalFormatting xmlns:xm="http://schemas.microsoft.com/office/excel/2006/main">
          <x14:cfRule type="dataBar" id="{ECF98A05-0E47-45DD-9C68-EBC1834A561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A2481BC-A46A-48F7-9C90-EE08058461A7}">
            <x14:dataBar minLength="0" maxLength="100" border="1" negativeBarBorderColorSameAsPositive="0">
              <x14:cfvo type="autoMin"/>
              <x14:cfvo type="autoMax"/>
              <x14:borderColor rgb="FF63C384"/>
              <x14:negativeFillColor rgb="FFFF0000"/>
              <x14:negativeBorderColor rgb="FFFF0000"/>
              <x14:axisColor rgb="FF000000"/>
            </x14:dataBar>
          </x14:cfRule>
          <xm:sqref>AY34</xm:sqref>
        </x14:conditionalFormatting>
        <x14:conditionalFormatting xmlns:xm="http://schemas.microsoft.com/office/excel/2006/main">
          <x14:cfRule type="dataBar" id="{2430E3A0-6E84-4E1E-8868-16142BF56FC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12786F2-D9EE-4645-817F-40121D42AD2D}">
            <x14:dataBar minLength="0" maxLength="100" border="1" negativeBarBorderColorSameAsPositive="0">
              <x14:cfvo type="autoMin"/>
              <x14:cfvo type="autoMax"/>
              <x14:borderColor rgb="FF63C384"/>
              <x14:negativeFillColor rgb="FFFF0000"/>
              <x14:negativeBorderColor rgb="FFFF0000"/>
              <x14:axisColor rgb="FF000000"/>
            </x14:dataBar>
          </x14:cfRule>
          <xm:sqref>AY35</xm:sqref>
        </x14:conditionalFormatting>
        <x14:conditionalFormatting xmlns:xm="http://schemas.microsoft.com/office/excel/2006/main">
          <x14:cfRule type="dataBar" id="{C7F4FDA8-04B2-453B-A259-46108774CC2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06639C3-1BEE-46D3-9A08-60E19C529C89}">
            <x14:dataBar minLength="0" maxLength="100" border="1" negativeBarBorderColorSameAsPositive="0">
              <x14:cfvo type="autoMin"/>
              <x14:cfvo type="autoMax"/>
              <x14:borderColor rgb="FF63C384"/>
              <x14:negativeFillColor rgb="FFFF0000"/>
              <x14:negativeBorderColor rgb="FFFF0000"/>
              <x14:axisColor rgb="FF000000"/>
            </x14:dataBar>
          </x14:cfRule>
          <xm:sqref>AY39</xm:sqref>
        </x14:conditionalFormatting>
        <x14:conditionalFormatting xmlns:xm="http://schemas.microsoft.com/office/excel/2006/main">
          <x14:cfRule type="dataBar" id="{D60CD344-5CA2-490D-A5ED-07D697F99CB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A0BB3D0-B49C-460F-8BF9-899B5C9A7D4E}">
            <x14:dataBar minLength="0" maxLength="100" border="1" negativeBarBorderColorSameAsPositive="0">
              <x14:cfvo type="autoMin"/>
              <x14:cfvo type="autoMax"/>
              <x14:borderColor rgb="FF63C384"/>
              <x14:negativeFillColor rgb="FFFF0000"/>
              <x14:negativeBorderColor rgb="FFFF0000"/>
              <x14:axisColor rgb="FF000000"/>
            </x14:dataBar>
          </x14:cfRule>
          <xm:sqref>AY40:AY42</xm:sqref>
        </x14:conditionalFormatting>
        <x14:conditionalFormatting xmlns:xm="http://schemas.microsoft.com/office/excel/2006/main">
          <x14:cfRule type="dataBar" id="{5BA22171-777C-4819-9107-D97209B5825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4A9DB4D-A0E0-4589-8870-9309CCA6C8D5}">
            <x14:dataBar minLength="0" maxLength="100" border="1" negativeBarBorderColorSameAsPositive="0">
              <x14:cfvo type="autoMin"/>
              <x14:cfvo type="autoMax"/>
              <x14:borderColor rgb="FF63C384"/>
              <x14:negativeFillColor rgb="FFFF0000"/>
              <x14:negativeBorderColor rgb="FFFF0000"/>
              <x14:axisColor rgb="FF000000"/>
            </x14:dataBar>
          </x14:cfRule>
          <xm:sqref>AY46</xm:sqref>
        </x14:conditionalFormatting>
        <x14:conditionalFormatting xmlns:xm="http://schemas.microsoft.com/office/excel/2006/main">
          <x14:cfRule type="dataBar" id="{FB4F64B3-CF8E-495E-8D0B-26447A351C5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0D032E3-EC6D-44F1-AB57-227295593DDB}">
            <x14:dataBar minLength="0" maxLength="100" border="1" negativeBarBorderColorSameAsPositive="0">
              <x14:cfvo type="autoMin"/>
              <x14:cfvo type="autoMax"/>
              <x14:borderColor rgb="FF63C384"/>
              <x14:negativeFillColor rgb="FFFF0000"/>
              <x14:negativeBorderColor rgb="FFFF0000"/>
              <x14:axisColor rgb="FF000000"/>
            </x14:dataBar>
          </x14:cfRule>
          <xm:sqref>AY47:AY48</xm:sqref>
        </x14:conditionalFormatting>
        <x14:conditionalFormatting xmlns:xm="http://schemas.microsoft.com/office/excel/2006/main">
          <x14:cfRule type="dataBar" id="{BE0A9159-6DBD-45A7-A2F3-1B92C228A30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7BE082A-0D63-4167-BDE7-20034D28FBE8}">
            <x14:dataBar minLength="0" maxLength="100" border="1" negativeBarBorderColorSameAsPositive="0">
              <x14:cfvo type="autoMin"/>
              <x14:cfvo type="autoMax"/>
              <x14:borderColor rgb="FF63C384"/>
              <x14:negativeFillColor rgb="FFFF0000"/>
              <x14:negativeBorderColor rgb="FFFF0000"/>
              <x14:axisColor rgb="FF000000"/>
            </x14:dataBar>
          </x14:cfRule>
          <xm:sqref>BH34:BH35</xm:sqref>
        </x14:conditionalFormatting>
        <x14:conditionalFormatting xmlns:xm="http://schemas.microsoft.com/office/excel/2006/main">
          <x14:cfRule type="dataBar" id="{392683B2-1476-4201-A0A5-CFDA50130862}">
            <x14:dataBar minLength="0" maxLength="100" border="1" negativeBarBorderColorSameAsPositive="0">
              <x14:cfvo type="autoMin"/>
              <x14:cfvo type="autoMax"/>
              <x14:borderColor rgb="FF63C384"/>
              <x14:negativeFillColor rgb="FFFF0000"/>
              <x14:negativeBorderColor rgb="FFFF0000"/>
              <x14:axisColor rgb="FF000000"/>
            </x14:dataBar>
          </x14:cfRule>
          <xm:sqref>BH4:BI14</xm:sqref>
        </x14:conditionalFormatting>
        <x14:conditionalFormatting xmlns:xm="http://schemas.microsoft.com/office/excel/2006/main">
          <x14:cfRule type="dataBar" id="{3BD6E31A-1AFD-4B96-9EBA-1B38D3069C46}">
            <x14:dataBar minLength="0" maxLength="100" border="1" negativeBarBorderColorSameAsPositive="0">
              <x14:cfvo type="autoMin"/>
              <x14:cfvo type="autoMax"/>
              <x14:borderColor rgb="FF63C384"/>
              <x14:negativeFillColor rgb="FFFF0000"/>
              <x14:negativeBorderColor rgb="FFFF0000"/>
              <x14:axisColor rgb="FF000000"/>
            </x14:dataBar>
          </x14:cfRule>
          <xm:sqref>BH18:BI23</xm:sqref>
        </x14:conditionalFormatting>
        <x14:conditionalFormatting xmlns:xm="http://schemas.microsoft.com/office/excel/2006/main">
          <x14:cfRule type="dataBar" id="{757492C0-7407-4F17-B71F-08BE005DB5E4}">
            <x14:dataBar minLength="0" maxLength="100" border="1" negativeBarBorderColorSameAsPositive="0">
              <x14:cfvo type="autoMin"/>
              <x14:cfvo type="autoMax"/>
              <x14:borderColor rgb="FF63C384"/>
              <x14:negativeFillColor rgb="FFFF0000"/>
              <x14:negativeBorderColor rgb="FFFF0000"/>
              <x14:axisColor rgb="FF000000"/>
            </x14:dataBar>
          </x14:cfRule>
          <xm:sqref>BH27:BI31</xm:sqref>
        </x14:conditionalFormatting>
        <x14:conditionalFormatting xmlns:xm="http://schemas.microsoft.com/office/excel/2006/main">
          <x14:cfRule type="dataBar" id="{C3FBA152-3107-429F-A842-6A10AF24CD77}">
            <x14:dataBar minLength="0" maxLength="100" border="1" negativeBarBorderColorSameAsPositive="0">
              <x14:cfvo type="autoMin"/>
              <x14:cfvo type="autoMax"/>
              <x14:borderColor rgb="FF63C384"/>
              <x14:negativeFillColor rgb="FFFF0000"/>
              <x14:negativeBorderColor rgb="FFFF0000"/>
              <x14:axisColor rgb="FF000000"/>
            </x14:dataBar>
          </x14:cfRule>
          <xm:sqref>BH39:BI42</xm:sqref>
        </x14:conditionalFormatting>
        <x14:conditionalFormatting xmlns:xm="http://schemas.microsoft.com/office/excel/2006/main">
          <x14:cfRule type="dataBar" id="{531DF821-4AB6-4525-9C18-C992F02A8D69}">
            <x14:dataBar minLength="0" maxLength="100" border="1" negativeBarBorderColorSameAsPositive="0">
              <x14:cfvo type="autoMin"/>
              <x14:cfvo type="autoMax"/>
              <x14:borderColor rgb="FF63C384"/>
              <x14:negativeFillColor rgb="FFFF0000"/>
              <x14:negativeBorderColor rgb="FFFF0000"/>
              <x14:axisColor rgb="FF000000"/>
            </x14:dataBar>
          </x14:cfRule>
          <xm:sqref>BH46:BI48</xm:sqref>
        </x14:conditionalFormatting>
        <x14:conditionalFormatting xmlns:xm="http://schemas.microsoft.com/office/excel/2006/main">
          <x14:cfRule type="dataBar" id="{9A40ED0B-96B8-4639-B0D8-B8705D6BDCD3}">
            <x14:dataBar minLength="0" maxLength="100" border="1" negativeBarBorderColorSameAsPositive="0">
              <x14:cfvo type="autoMin"/>
              <x14:cfvo type="autoMax"/>
              <x14:borderColor rgb="FF63C384"/>
              <x14:negativeFillColor rgb="FFFF0000"/>
              <x14:negativeBorderColor rgb="FFFF0000"/>
              <x14:axisColor rgb="FF000000"/>
            </x14:dataBar>
          </x14:cfRule>
          <xm:sqref>BI34:BI35</xm:sqref>
        </x14:conditionalFormatting>
        <x14:conditionalFormatting xmlns:xm="http://schemas.microsoft.com/office/excel/2006/main">
          <x14:cfRule type="dataBar" id="{6B5F0208-EB82-40ED-AFC9-BAF25AE46B1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5C419D6-E4C1-470D-AF0A-F2CF58C08F5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3E288CF-4EDA-467E-BFF2-AA447FC38249}">
            <x14:dataBar minLength="0" maxLength="100" border="1" negativeBarBorderColorSameAsPositive="0">
              <x14:cfvo type="autoMin"/>
              <x14:cfvo type="autoMax"/>
              <x14:borderColor rgb="FF63C384"/>
              <x14:negativeFillColor rgb="FFFF0000"/>
              <x14:negativeBorderColor rgb="FFFF0000"/>
              <x14:axisColor rgb="FF000000"/>
            </x14:dataBar>
          </x14:cfRule>
          <xm:sqref>BP4:BP14</xm:sqref>
        </x14:conditionalFormatting>
        <x14:conditionalFormatting xmlns:xm="http://schemas.microsoft.com/office/excel/2006/main">
          <x14:cfRule type="dataBar" id="{92E39FB3-73EB-49F0-B800-065F1D319760}">
            <x14:dataBar minLength="0" maxLength="100" border="1" negativeBarBorderColorSameAsPositive="0">
              <x14:cfvo type="autoMin"/>
              <x14:cfvo type="autoMax"/>
              <x14:borderColor rgb="FF63C384"/>
              <x14:negativeFillColor rgb="FFFF0000"/>
              <x14:negativeBorderColor rgb="FFFF0000"/>
              <x14:axisColor rgb="FF000000"/>
            </x14:dataBar>
          </x14:cfRule>
          <xm:sqref>BP5:BP14</xm:sqref>
        </x14:conditionalFormatting>
        <x14:conditionalFormatting xmlns:xm="http://schemas.microsoft.com/office/excel/2006/main">
          <x14:cfRule type="dataBar" id="{19BF4E8A-154C-4887-B67C-04B92BE9A6A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B1CE1E1-75AA-4202-93D7-565D50208C1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39B8F1-906B-48BD-B4E2-673D65BA51D9}">
            <x14:dataBar minLength="0" maxLength="100" border="1" negativeBarBorderColorSameAsPositive="0">
              <x14:cfvo type="autoMin"/>
              <x14:cfvo type="autoMax"/>
              <x14:borderColor rgb="FF63C384"/>
              <x14:negativeFillColor rgb="FFFF0000"/>
              <x14:negativeBorderColor rgb="FFFF0000"/>
              <x14:axisColor rgb="FF000000"/>
            </x14:dataBar>
          </x14:cfRule>
          <xm:sqref>BP18:BP23</xm:sqref>
        </x14:conditionalFormatting>
        <x14:conditionalFormatting xmlns:xm="http://schemas.microsoft.com/office/excel/2006/main">
          <x14:cfRule type="dataBar" id="{BAC7E7AD-627E-4505-9930-E2689836BA75}">
            <x14:dataBar minLength="0" maxLength="100" border="1" negativeBarBorderColorSameAsPositive="0">
              <x14:cfvo type="autoMin"/>
              <x14:cfvo type="autoMax"/>
              <x14:borderColor rgb="FF63C384"/>
              <x14:negativeFillColor rgb="FFFF0000"/>
              <x14:negativeBorderColor rgb="FFFF0000"/>
              <x14:axisColor rgb="FF000000"/>
            </x14:dataBar>
          </x14:cfRule>
          <xm:sqref>BP19:BP23</xm:sqref>
        </x14:conditionalFormatting>
        <x14:conditionalFormatting xmlns:xm="http://schemas.microsoft.com/office/excel/2006/main">
          <x14:cfRule type="dataBar" id="{2E1164A8-B702-4CE5-B8E6-9A69B04478E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236B92-9122-4968-8940-24CB73AC24A5}">
            <x14:dataBar minLength="0" maxLength="100" border="1" negativeBarBorderColorSameAsPositive="0">
              <x14:cfvo type="autoMin"/>
              <x14:cfvo type="autoMax"/>
              <x14:borderColor rgb="FF63C384"/>
              <x14:negativeFillColor rgb="FFFF0000"/>
              <x14:negativeBorderColor rgb="FFFF0000"/>
              <x14:axisColor rgb="FF000000"/>
            </x14:dataBar>
          </x14:cfRule>
          <xm:sqref>BP27:BP30</xm:sqref>
        </x14:conditionalFormatting>
        <x14:conditionalFormatting xmlns:xm="http://schemas.microsoft.com/office/excel/2006/main">
          <x14:cfRule type="dataBar" id="{0B3D73CD-C12E-49AB-A0F5-398339506DF3}">
            <x14:dataBar minLength="0" maxLength="100" border="1" negativeBarBorderColorSameAsPositive="0">
              <x14:cfvo type="autoMin"/>
              <x14:cfvo type="autoMax"/>
              <x14:borderColor rgb="FF63C384"/>
              <x14:negativeFillColor rgb="FFFF0000"/>
              <x14:negativeBorderColor rgb="FFFF0000"/>
              <x14:axisColor rgb="FF000000"/>
            </x14:dataBar>
          </x14:cfRule>
          <xm:sqref>BP27:BP31</xm:sqref>
        </x14:conditionalFormatting>
        <x14:conditionalFormatting xmlns:xm="http://schemas.microsoft.com/office/excel/2006/main">
          <x14:cfRule type="dataBar" id="{E801DF77-9865-4BB8-BC22-35A1A7D57AE0}">
            <x14:dataBar minLength="0" maxLength="100" border="1" negativeBarBorderColorSameAsPositive="0">
              <x14:cfvo type="autoMin"/>
              <x14:cfvo type="autoMax"/>
              <x14:borderColor rgb="FF63C384"/>
              <x14:negativeFillColor rgb="FFFF0000"/>
              <x14:negativeBorderColor rgb="FFFF0000"/>
              <x14:axisColor rgb="FF000000"/>
            </x14:dataBar>
          </x14:cfRule>
          <xm:sqref>BP28:BP31</xm:sqref>
        </x14:conditionalFormatting>
        <x14:conditionalFormatting xmlns:xm="http://schemas.microsoft.com/office/excel/2006/main">
          <x14:cfRule type="dataBar" id="{7994CBC5-E21D-48DA-9570-1918689278E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C6FAF95-80F5-4F6B-A3E6-48C2BCAF912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0854E25-E324-4B87-8A21-4D722B1394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6D5448F-F81A-414A-A6A7-7B3AE63C0FCE}">
            <x14:dataBar minLength="0" maxLength="100" border="1" negativeBarBorderColorSameAsPositive="0">
              <x14:cfvo type="autoMin"/>
              <x14:cfvo type="autoMax"/>
              <x14:borderColor rgb="FF63C384"/>
              <x14:negativeFillColor rgb="FFFF0000"/>
              <x14:negativeBorderColor rgb="FFFF0000"/>
              <x14:axisColor rgb="FF000000"/>
            </x14:dataBar>
          </x14:cfRule>
          <xm:sqref>BP34:BP35</xm:sqref>
        </x14:conditionalFormatting>
        <x14:conditionalFormatting xmlns:xm="http://schemas.microsoft.com/office/excel/2006/main">
          <x14:cfRule type="dataBar" id="{171D4CEE-3EF2-48A6-BF21-D14A01B04575}">
            <x14:dataBar minLength="0" maxLength="100" border="1" negativeBarBorderColorSameAsPositive="0">
              <x14:cfvo type="autoMin"/>
              <x14:cfvo type="autoMax"/>
              <x14:borderColor rgb="FF63C384"/>
              <x14:negativeFillColor rgb="FFFF0000"/>
              <x14:negativeBorderColor rgb="FFFF0000"/>
              <x14:axisColor rgb="FF000000"/>
            </x14:dataBar>
          </x14:cfRule>
          <xm:sqref>BP35</xm:sqref>
        </x14:conditionalFormatting>
        <x14:conditionalFormatting xmlns:xm="http://schemas.microsoft.com/office/excel/2006/main">
          <x14:cfRule type="dataBar" id="{2C7B47CC-85C5-4A1C-AD2B-69B4B716345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7996AB0-38CE-41EB-A1A7-787295C2962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AB21563-1229-4AD1-A297-ED27BBF170FD}">
            <x14:dataBar minLength="0" maxLength="100" border="1" negativeBarBorderColorSameAsPositive="0">
              <x14:cfvo type="autoMin"/>
              <x14:cfvo type="autoMax"/>
              <x14:borderColor rgb="FF63C384"/>
              <x14:negativeFillColor rgb="FFFF0000"/>
              <x14:negativeBorderColor rgb="FFFF0000"/>
              <x14:axisColor rgb="FF000000"/>
            </x14:dataBar>
          </x14:cfRule>
          <xm:sqref>BP39:BP42</xm:sqref>
        </x14:conditionalFormatting>
        <x14:conditionalFormatting xmlns:xm="http://schemas.microsoft.com/office/excel/2006/main">
          <x14:cfRule type="dataBar" id="{B194C5A2-0533-47BC-9A82-8368EA66E779}">
            <x14:dataBar minLength="0" maxLength="100" border="1" negativeBarBorderColorSameAsPositive="0">
              <x14:cfvo type="autoMin"/>
              <x14:cfvo type="autoMax"/>
              <x14:borderColor rgb="FF63C384"/>
              <x14:negativeFillColor rgb="FFFF0000"/>
              <x14:negativeBorderColor rgb="FFFF0000"/>
              <x14:axisColor rgb="FF000000"/>
            </x14:dataBar>
          </x14:cfRule>
          <xm:sqref>BP40:BP42</xm:sqref>
        </x14:conditionalFormatting>
        <x14:conditionalFormatting xmlns:xm="http://schemas.microsoft.com/office/excel/2006/main">
          <x14:cfRule type="dataBar" id="{EFBAC44B-C68A-4EC5-A4BD-CEC3555F62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03F11F1-B17E-4C18-B151-6B18F8C262C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D1A79B6-9662-4070-9E52-7508673F411F}">
            <x14:dataBar minLength="0" maxLength="100" border="1" negativeBarBorderColorSameAsPositive="0">
              <x14:cfvo type="autoMin"/>
              <x14:cfvo type="autoMax"/>
              <x14:borderColor rgb="FF63C384"/>
              <x14:negativeFillColor rgb="FFFF0000"/>
              <x14:negativeBorderColor rgb="FFFF0000"/>
              <x14:axisColor rgb="FF000000"/>
            </x14:dataBar>
          </x14:cfRule>
          <xm:sqref>BP46:BP48</xm:sqref>
        </x14:conditionalFormatting>
        <x14:conditionalFormatting xmlns:xm="http://schemas.microsoft.com/office/excel/2006/main">
          <x14:cfRule type="dataBar" id="{531F02CF-ECC7-4257-A4CB-D769E30B58A8}">
            <x14:dataBar minLength="0" maxLength="100" border="1" negativeBarBorderColorSameAsPositive="0">
              <x14:cfvo type="autoMin"/>
              <x14:cfvo type="autoMax"/>
              <x14:borderColor rgb="FF63C384"/>
              <x14:negativeFillColor rgb="FFFF0000"/>
              <x14:negativeBorderColor rgb="FFFF0000"/>
              <x14:axisColor rgb="FF000000"/>
            </x14:dataBar>
          </x14:cfRule>
          <xm:sqref>BP47:BP48</xm:sqref>
        </x14:conditionalFormatting>
        <x14:conditionalFormatting xmlns:xm="http://schemas.microsoft.com/office/excel/2006/main">
          <x14:cfRule type="dataBar" id="{814C939D-24D9-4DA6-8242-0A6695E1A17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37944A7-A1E6-492A-9275-9BED3C22E8F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F4EE398-FBDF-46CD-9922-06F6012BF774}">
            <x14:dataBar minLength="0" maxLength="100" border="1" negativeBarBorderColorSameAsPositive="0">
              <x14:cfvo type="autoMin"/>
              <x14:cfvo type="autoMax"/>
              <x14:borderColor rgb="FF63C384"/>
              <x14:negativeFillColor rgb="FFFF0000"/>
              <x14:negativeBorderColor rgb="FFFF0000"/>
              <x14:axisColor rgb="FF000000"/>
            </x14:dataBar>
          </x14:cfRule>
          <xm:sqref>BW4:BW14</xm:sqref>
        </x14:conditionalFormatting>
        <x14:conditionalFormatting xmlns:xm="http://schemas.microsoft.com/office/excel/2006/main">
          <x14:cfRule type="dataBar" id="{928C23DA-D86F-49E3-9F18-52AE48AD4C6F}">
            <x14:dataBar minLength="0" maxLength="100" border="1" negativeBarBorderColorSameAsPositive="0">
              <x14:cfvo type="autoMin"/>
              <x14:cfvo type="autoMax"/>
              <x14:borderColor rgb="FF63C384"/>
              <x14:negativeFillColor rgb="FFFF0000"/>
              <x14:negativeBorderColor rgb="FFFF0000"/>
              <x14:axisColor rgb="FF000000"/>
            </x14:dataBar>
          </x14:cfRule>
          <xm:sqref>BW5:BW14</xm:sqref>
        </x14:conditionalFormatting>
        <x14:conditionalFormatting xmlns:xm="http://schemas.microsoft.com/office/excel/2006/main">
          <x14:cfRule type="dataBar" id="{9B428363-CC27-4FCF-98E7-E9BC282EC04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FAA612B-A659-4DD6-8396-F1022BA74B8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6032300-808A-45A7-BAA0-41A598F81344}">
            <x14:dataBar minLength="0" maxLength="100" border="1" negativeBarBorderColorSameAsPositive="0">
              <x14:cfvo type="autoMin"/>
              <x14:cfvo type="autoMax"/>
              <x14:borderColor rgb="FF63C384"/>
              <x14:negativeFillColor rgb="FFFF0000"/>
              <x14:negativeBorderColor rgb="FFFF0000"/>
              <x14:axisColor rgb="FF000000"/>
            </x14:dataBar>
          </x14:cfRule>
          <xm:sqref>BW18:BW23</xm:sqref>
        </x14:conditionalFormatting>
        <x14:conditionalFormatting xmlns:xm="http://schemas.microsoft.com/office/excel/2006/main">
          <x14:cfRule type="dataBar" id="{4E47B5AB-23DF-43F0-A182-6448B22F3032}">
            <x14:dataBar minLength="0" maxLength="100" border="1" negativeBarBorderColorSameAsPositive="0">
              <x14:cfvo type="autoMin"/>
              <x14:cfvo type="autoMax"/>
              <x14:borderColor rgb="FF63C384"/>
              <x14:negativeFillColor rgb="FFFF0000"/>
              <x14:negativeBorderColor rgb="FFFF0000"/>
              <x14:axisColor rgb="FF000000"/>
            </x14:dataBar>
          </x14:cfRule>
          <xm:sqref>BW19:BW23</xm:sqref>
        </x14:conditionalFormatting>
        <x14:conditionalFormatting xmlns:xm="http://schemas.microsoft.com/office/excel/2006/main">
          <x14:cfRule type="dataBar" id="{B1780C7B-E96C-4C54-A022-8AF38D8C88B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F99DFDC-0334-43BF-AD65-9ECA6061CD9E}">
            <x14:dataBar minLength="0" maxLength="100" border="1" negativeBarBorderColorSameAsPositive="0">
              <x14:cfvo type="autoMin"/>
              <x14:cfvo type="autoMax"/>
              <x14:borderColor rgb="FF63C384"/>
              <x14:negativeFillColor rgb="FFFF0000"/>
              <x14:negativeBorderColor rgb="FFFF0000"/>
              <x14:axisColor rgb="FF000000"/>
            </x14:dataBar>
          </x14:cfRule>
          <xm:sqref>BW27:BW30</xm:sqref>
        </x14:conditionalFormatting>
        <x14:conditionalFormatting xmlns:xm="http://schemas.microsoft.com/office/excel/2006/main">
          <x14:cfRule type="dataBar" id="{C6BCE82D-17C5-451D-B42D-9DFEEEDE2EAD}">
            <x14:dataBar minLength="0" maxLength="100" border="1" negativeBarBorderColorSameAsPositive="0">
              <x14:cfvo type="autoMin"/>
              <x14:cfvo type="autoMax"/>
              <x14:borderColor rgb="FF63C384"/>
              <x14:negativeFillColor rgb="FFFF0000"/>
              <x14:negativeBorderColor rgb="FFFF0000"/>
              <x14:axisColor rgb="FF000000"/>
            </x14:dataBar>
          </x14:cfRule>
          <xm:sqref>BW27:BW31</xm:sqref>
        </x14:conditionalFormatting>
        <x14:conditionalFormatting xmlns:xm="http://schemas.microsoft.com/office/excel/2006/main">
          <x14:cfRule type="dataBar" id="{F3650F6B-0A96-4326-9C6F-5A2D93A83D30}">
            <x14:dataBar minLength="0" maxLength="100" border="1" negativeBarBorderColorSameAsPositive="0">
              <x14:cfvo type="autoMin"/>
              <x14:cfvo type="autoMax"/>
              <x14:borderColor rgb="FF63C384"/>
              <x14:negativeFillColor rgb="FFFF0000"/>
              <x14:negativeBorderColor rgb="FFFF0000"/>
              <x14:axisColor rgb="FF000000"/>
            </x14:dataBar>
          </x14:cfRule>
          <xm:sqref>BW28:BW31</xm:sqref>
        </x14:conditionalFormatting>
        <x14:conditionalFormatting xmlns:xm="http://schemas.microsoft.com/office/excel/2006/main">
          <x14:cfRule type="dataBar" id="{220560BA-CE06-4D39-8DA7-61139362DAA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F251610-8BD4-4B04-8E96-8975108CD97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208E34C-366C-4CEA-814D-C8AC13C50E3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389EFB5-7C75-4E4C-8A56-8342A55E6D29}">
            <x14:dataBar minLength="0" maxLength="100" border="1" negativeBarBorderColorSameAsPositive="0">
              <x14:cfvo type="autoMin"/>
              <x14:cfvo type="autoMax"/>
              <x14:borderColor rgb="FF63C384"/>
              <x14:negativeFillColor rgb="FFFF0000"/>
              <x14:negativeBorderColor rgb="FFFF0000"/>
              <x14:axisColor rgb="FF000000"/>
            </x14:dataBar>
          </x14:cfRule>
          <xm:sqref>BW34:BW35</xm:sqref>
        </x14:conditionalFormatting>
        <x14:conditionalFormatting xmlns:xm="http://schemas.microsoft.com/office/excel/2006/main">
          <x14:cfRule type="dataBar" id="{18118EE9-C1D5-4D96-A1B6-E416C4FCD2EB}">
            <x14:dataBar minLength="0" maxLength="100" border="1" negativeBarBorderColorSameAsPositive="0">
              <x14:cfvo type="autoMin"/>
              <x14:cfvo type="autoMax"/>
              <x14:borderColor rgb="FF63C384"/>
              <x14:negativeFillColor rgb="FFFF0000"/>
              <x14:negativeBorderColor rgb="FFFF0000"/>
              <x14:axisColor rgb="FF000000"/>
            </x14:dataBar>
          </x14:cfRule>
          <xm:sqref>BW35</xm:sqref>
        </x14:conditionalFormatting>
        <x14:conditionalFormatting xmlns:xm="http://schemas.microsoft.com/office/excel/2006/main">
          <x14:cfRule type="dataBar" id="{02F603FE-B49F-4B22-8AA2-52F81D23A7A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17731CD-7E04-4615-B6E8-87DC43012F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0BA7EF9-C9E5-4290-BFFC-39B722E6574F}">
            <x14:dataBar minLength="0" maxLength="100" border="1" negativeBarBorderColorSameAsPositive="0">
              <x14:cfvo type="autoMin"/>
              <x14:cfvo type="autoMax"/>
              <x14:borderColor rgb="FF63C384"/>
              <x14:negativeFillColor rgb="FFFF0000"/>
              <x14:negativeBorderColor rgb="FFFF0000"/>
              <x14:axisColor rgb="FF000000"/>
            </x14:dataBar>
          </x14:cfRule>
          <xm:sqref>BW39:BW42</xm:sqref>
        </x14:conditionalFormatting>
        <x14:conditionalFormatting xmlns:xm="http://schemas.microsoft.com/office/excel/2006/main">
          <x14:cfRule type="dataBar" id="{50C29B86-1A40-4802-AE55-2224AA67290C}">
            <x14:dataBar minLength="0" maxLength="100" border="1" negativeBarBorderColorSameAsPositive="0">
              <x14:cfvo type="autoMin"/>
              <x14:cfvo type="autoMax"/>
              <x14:borderColor rgb="FF63C384"/>
              <x14:negativeFillColor rgb="FFFF0000"/>
              <x14:negativeBorderColor rgb="FFFF0000"/>
              <x14:axisColor rgb="FF000000"/>
            </x14:dataBar>
          </x14:cfRule>
          <xm:sqref>BW40:BW42</xm:sqref>
        </x14:conditionalFormatting>
        <x14:conditionalFormatting xmlns:xm="http://schemas.microsoft.com/office/excel/2006/main">
          <x14:cfRule type="dataBar" id="{22D9D3A7-B260-4699-A597-602CE3F1C62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89489F9-A81C-4ACA-AB25-553B660FC28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A5B8FAC-E773-434E-B16D-4FC58C8698D2}">
            <x14:dataBar minLength="0" maxLength="100" border="1" negativeBarBorderColorSameAsPositive="0">
              <x14:cfvo type="autoMin"/>
              <x14:cfvo type="autoMax"/>
              <x14:borderColor rgb="FF63C384"/>
              <x14:negativeFillColor rgb="FFFF0000"/>
              <x14:negativeBorderColor rgb="FFFF0000"/>
              <x14:axisColor rgb="FF000000"/>
            </x14:dataBar>
          </x14:cfRule>
          <xm:sqref>BW46:BW48</xm:sqref>
        </x14:conditionalFormatting>
        <x14:conditionalFormatting xmlns:xm="http://schemas.microsoft.com/office/excel/2006/main">
          <x14:cfRule type="dataBar" id="{D78E86C9-4769-4D3A-8E34-FA33B38E70FC}">
            <x14:dataBar minLength="0" maxLength="100" border="1" negativeBarBorderColorSameAsPositive="0">
              <x14:cfvo type="autoMin"/>
              <x14:cfvo type="autoMax"/>
              <x14:borderColor rgb="FF63C384"/>
              <x14:negativeFillColor rgb="FFFF0000"/>
              <x14:negativeBorderColor rgb="FFFF0000"/>
              <x14:axisColor rgb="FF000000"/>
            </x14:dataBar>
          </x14:cfRule>
          <xm:sqref>BW47:BW48</xm:sqref>
        </x14:conditionalFormatting>
        <x14:conditionalFormatting xmlns:xm="http://schemas.microsoft.com/office/excel/2006/main">
          <x14:cfRule type="dataBar" id="{2B2485FB-6C2D-4343-BEF1-1EC67472CA7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E1F47FD-6263-4EF2-B080-59D907E4D01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86670A9-D700-42A7-8EAF-68616D698FC1}">
            <x14:dataBar minLength="0" maxLength="100" border="1" negativeBarBorderColorSameAsPositive="0">
              <x14:cfvo type="autoMin"/>
              <x14:cfvo type="autoMax"/>
              <x14:borderColor rgb="FF63C384"/>
              <x14:negativeFillColor rgb="FFFF0000"/>
              <x14:negativeBorderColor rgb="FFFF0000"/>
              <x14:axisColor rgb="FF000000"/>
            </x14:dataBar>
          </x14:cfRule>
          <xm:sqref>CE4:CE14</xm:sqref>
        </x14:conditionalFormatting>
        <x14:conditionalFormatting xmlns:xm="http://schemas.microsoft.com/office/excel/2006/main">
          <x14:cfRule type="dataBar" id="{A82EC087-B904-42E4-BB47-43F76AEF63B7}">
            <x14:dataBar minLength="0" maxLength="100" border="1" negativeBarBorderColorSameAsPositive="0">
              <x14:cfvo type="autoMin"/>
              <x14:cfvo type="autoMax"/>
              <x14:borderColor rgb="FF63C384"/>
              <x14:negativeFillColor rgb="FFFF0000"/>
              <x14:negativeBorderColor rgb="FFFF0000"/>
              <x14:axisColor rgb="FF000000"/>
            </x14:dataBar>
          </x14:cfRule>
          <xm:sqref>CE5:CE14</xm:sqref>
        </x14:conditionalFormatting>
        <x14:conditionalFormatting xmlns:xm="http://schemas.microsoft.com/office/excel/2006/main">
          <x14:cfRule type="dataBar" id="{BDB5D5F2-3214-4424-9E20-981E3BD696F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F24FE06-7CE9-45A0-9461-F89B49A3C60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608218C-73D7-42CA-B35C-124DBF396A96}">
            <x14:dataBar minLength="0" maxLength="100" border="1" negativeBarBorderColorSameAsPositive="0">
              <x14:cfvo type="autoMin"/>
              <x14:cfvo type="autoMax"/>
              <x14:borderColor rgb="FF63C384"/>
              <x14:negativeFillColor rgb="FFFF0000"/>
              <x14:negativeBorderColor rgb="FFFF0000"/>
              <x14:axisColor rgb="FF000000"/>
            </x14:dataBar>
          </x14:cfRule>
          <xm:sqref>CE18:CE23</xm:sqref>
        </x14:conditionalFormatting>
        <x14:conditionalFormatting xmlns:xm="http://schemas.microsoft.com/office/excel/2006/main">
          <x14:cfRule type="dataBar" id="{4BA062E6-8E71-465B-A153-2DC7BF3E1CB5}">
            <x14:dataBar minLength="0" maxLength="100" border="1" negativeBarBorderColorSameAsPositive="0">
              <x14:cfvo type="autoMin"/>
              <x14:cfvo type="autoMax"/>
              <x14:borderColor rgb="FF63C384"/>
              <x14:negativeFillColor rgb="FFFF0000"/>
              <x14:negativeBorderColor rgb="FFFF0000"/>
              <x14:axisColor rgb="FF000000"/>
            </x14:dataBar>
          </x14:cfRule>
          <xm:sqref>CE19:CE23</xm:sqref>
        </x14:conditionalFormatting>
        <x14:conditionalFormatting xmlns:xm="http://schemas.microsoft.com/office/excel/2006/main">
          <x14:cfRule type="dataBar" id="{64DF6B67-9729-49A3-B669-9DD3B91DC0D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4BAC2C0-02CD-4D9F-8363-601DD0C23BEF}">
            <x14:dataBar minLength="0" maxLength="100" border="1" negativeBarBorderColorSameAsPositive="0">
              <x14:cfvo type="autoMin"/>
              <x14:cfvo type="autoMax"/>
              <x14:borderColor rgb="FF63C384"/>
              <x14:negativeFillColor rgb="FFFF0000"/>
              <x14:negativeBorderColor rgb="FFFF0000"/>
              <x14:axisColor rgb="FF000000"/>
            </x14:dataBar>
          </x14:cfRule>
          <xm:sqref>CE27:CE30</xm:sqref>
        </x14:conditionalFormatting>
        <x14:conditionalFormatting xmlns:xm="http://schemas.microsoft.com/office/excel/2006/main">
          <x14:cfRule type="dataBar" id="{04F319A0-588F-45E9-8041-84304AB22602}">
            <x14:dataBar minLength="0" maxLength="100" border="1" negativeBarBorderColorSameAsPositive="0">
              <x14:cfvo type="autoMin"/>
              <x14:cfvo type="autoMax"/>
              <x14:borderColor rgb="FF63C384"/>
              <x14:negativeFillColor rgb="FFFF0000"/>
              <x14:negativeBorderColor rgb="FFFF0000"/>
              <x14:axisColor rgb="FF000000"/>
            </x14:dataBar>
          </x14:cfRule>
          <xm:sqref>CE27:CE31</xm:sqref>
        </x14:conditionalFormatting>
        <x14:conditionalFormatting xmlns:xm="http://schemas.microsoft.com/office/excel/2006/main">
          <x14:cfRule type="dataBar" id="{ABDDA272-4F68-4025-BCE4-F75835919379}">
            <x14:dataBar minLength="0" maxLength="100" border="1" negativeBarBorderColorSameAsPositive="0">
              <x14:cfvo type="autoMin"/>
              <x14:cfvo type="autoMax"/>
              <x14:borderColor rgb="FF63C384"/>
              <x14:negativeFillColor rgb="FFFF0000"/>
              <x14:negativeBorderColor rgb="FFFF0000"/>
              <x14:axisColor rgb="FF000000"/>
            </x14:dataBar>
          </x14:cfRule>
          <xm:sqref>CE28:CE31</xm:sqref>
        </x14:conditionalFormatting>
        <x14:conditionalFormatting xmlns:xm="http://schemas.microsoft.com/office/excel/2006/main">
          <x14:cfRule type="dataBar" id="{A9EC5264-8755-4454-9D1B-05E736EB323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941ED40-E222-473B-98B4-30AFBA099AE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D775004-E17E-45F4-A2B7-0D65C7A3AF6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ECE7606-408F-4F81-9A2E-AD187BF77DEA}">
            <x14:dataBar minLength="0" maxLength="100" border="1" negativeBarBorderColorSameAsPositive="0">
              <x14:cfvo type="autoMin"/>
              <x14:cfvo type="autoMax"/>
              <x14:borderColor rgb="FF63C384"/>
              <x14:negativeFillColor rgb="FFFF0000"/>
              <x14:negativeBorderColor rgb="FFFF0000"/>
              <x14:axisColor rgb="FF000000"/>
            </x14:dataBar>
          </x14:cfRule>
          <xm:sqref>CE34:CE35</xm:sqref>
        </x14:conditionalFormatting>
        <x14:conditionalFormatting xmlns:xm="http://schemas.microsoft.com/office/excel/2006/main">
          <x14:cfRule type="dataBar" id="{E263FECA-587C-4992-830B-A2A0AC31DCA4}">
            <x14:dataBar minLength="0" maxLength="100" border="1" negativeBarBorderColorSameAsPositive="0">
              <x14:cfvo type="autoMin"/>
              <x14:cfvo type="autoMax"/>
              <x14:borderColor rgb="FF63C384"/>
              <x14:negativeFillColor rgb="FFFF0000"/>
              <x14:negativeBorderColor rgb="FFFF0000"/>
              <x14:axisColor rgb="FF000000"/>
            </x14:dataBar>
          </x14:cfRule>
          <xm:sqref>CE35</xm:sqref>
        </x14:conditionalFormatting>
        <x14:conditionalFormatting xmlns:xm="http://schemas.microsoft.com/office/excel/2006/main">
          <x14:cfRule type="dataBar" id="{696DE245-2DF4-46A1-A1D5-CE56CAE5279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F69F42F-0078-4707-8583-E665E4ABE44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77C45AA-B5D9-4F2B-B7FA-F9116B56903C}">
            <x14:dataBar minLength="0" maxLength="100" border="1" negativeBarBorderColorSameAsPositive="0">
              <x14:cfvo type="autoMin"/>
              <x14:cfvo type="autoMax"/>
              <x14:borderColor rgb="FF63C384"/>
              <x14:negativeFillColor rgb="FFFF0000"/>
              <x14:negativeBorderColor rgb="FFFF0000"/>
              <x14:axisColor rgb="FF000000"/>
            </x14:dataBar>
          </x14:cfRule>
          <xm:sqref>CE39:CE42</xm:sqref>
        </x14:conditionalFormatting>
        <x14:conditionalFormatting xmlns:xm="http://schemas.microsoft.com/office/excel/2006/main">
          <x14:cfRule type="dataBar" id="{E89AB53F-B925-4450-995F-F3356E3BD527}">
            <x14:dataBar minLength="0" maxLength="100" border="1" negativeBarBorderColorSameAsPositive="0">
              <x14:cfvo type="autoMin"/>
              <x14:cfvo type="autoMax"/>
              <x14:borderColor rgb="FF63C384"/>
              <x14:negativeFillColor rgb="FFFF0000"/>
              <x14:negativeBorderColor rgb="FFFF0000"/>
              <x14:axisColor rgb="FF000000"/>
            </x14:dataBar>
          </x14:cfRule>
          <xm:sqref>CE40:CE42</xm:sqref>
        </x14:conditionalFormatting>
        <x14:conditionalFormatting xmlns:xm="http://schemas.microsoft.com/office/excel/2006/main">
          <x14:cfRule type="dataBar" id="{37126396-F289-4591-9A3C-E56143BD330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2AE594-8728-4C06-A308-F0DFCFF3014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4CDAD84-E919-4C06-9B17-F579AE75EC4B}">
            <x14:dataBar minLength="0" maxLength="100" border="1" negativeBarBorderColorSameAsPositive="0">
              <x14:cfvo type="autoMin"/>
              <x14:cfvo type="autoMax"/>
              <x14:borderColor rgb="FF63C384"/>
              <x14:negativeFillColor rgb="FFFF0000"/>
              <x14:negativeBorderColor rgb="FFFF0000"/>
              <x14:axisColor rgb="FF000000"/>
            </x14:dataBar>
          </x14:cfRule>
          <xm:sqref>CE46:CE48</xm:sqref>
        </x14:conditionalFormatting>
        <x14:conditionalFormatting xmlns:xm="http://schemas.microsoft.com/office/excel/2006/main">
          <x14:cfRule type="dataBar" id="{DF5AF0D4-E09A-41F1-A6E3-B823406C7B44}">
            <x14:dataBar minLength="0" maxLength="100" border="1" negativeBarBorderColorSameAsPositive="0">
              <x14:cfvo type="autoMin"/>
              <x14:cfvo type="autoMax"/>
              <x14:borderColor rgb="FF63C384"/>
              <x14:negativeFillColor rgb="FFFF0000"/>
              <x14:negativeBorderColor rgb="FFFF0000"/>
              <x14:axisColor rgb="FF000000"/>
            </x14:dataBar>
          </x14:cfRule>
          <xm:sqref>CE47:CE48</xm:sqref>
        </x14:conditionalFormatting>
        <x14:conditionalFormatting xmlns:xm="http://schemas.microsoft.com/office/excel/2006/main">
          <x14:cfRule type="dataBar" id="{8FDC4FE0-A6BB-4651-B413-AE9E758AB89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CF8AAA6-B838-425E-B401-57A35E094BE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8BE14B0-3AF2-44AD-B4A5-B48ABF663807}">
            <x14:dataBar minLength="0" maxLength="100" border="1" negativeBarBorderColorSameAsPositive="0">
              <x14:cfvo type="autoMin"/>
              <x14:cfvo type="autoMax"/>
              <x14:borderColor rgb="FF63C384"/>
              <x14:negativeFillColor rgb="FFFF0000"/>
              <x14:negativeBorderColor rgb="FFFF0000"/>
              <x14:axisColor rgb="FF000000"/>
            </x14:dataBar>
          </x14:cfRule>
          <xm:sqref>CM4:CM14</xm:sqref>
        </x14:conditionalFormatting>
        <x14:conditionalFormatting xmlns:xm="http://schemas.microsoft.com/office/excel/2006/main">
          <x14:cfRule type="dataBar" id="{F698A5A2-D6F7-47CE-9C2C-6A8383334FE1}">
            <x14:dataBar minLength="0" maxLength="100" border="1" negativeBarBorderColorSameAsPositive="0">
              <x14:cfvo type="autoMin"/>
              <x14:cfvo type="autoMax"/>
              <x14:borderColor rgb="FF63C384"/>
              <x14:negativeFillColor rgb="FFFF0000"/>
              <x14:negativeBorderColor rgb="FFFF0000"/>
              <x14:axisColor rgb="FF000000"/>
            </x14:dataBar>
          </x14:cfRule>
          <xm:sqref>CM5:CM14</xm:sqref>
        </x14:conditionalFormatting>
        <x14:conditionalFormatting xmlns:xm="http://schemas.microsoft.com/office/excel/2006/main">
          <x14:cfRule type="dataBar" id="{5292BA7D-80D2-4FDC-B436-8F11B2E5168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0C33F46-06A9-4F3F-8092-8854BA71401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BCCA879-54E6-4826-BDF6-D5B1CF81AEAE}">
            <x14:dataBar minLength="0" maxLength="100" border="1" negativeBarBorderColorSameAsPositive="0">
              <x14:cfvo type="autoMin"/>
              <x14:cfvo type="autoMax"/>
              <x14:borderColor rgb="FF63C384"/>
              <x14:negativeFillColor rgb="FFFF0000"/>
              <x14:negativeBorderColor rgb="FFFF0000"/>
              <x14:axisColor rgb="FF000000"/>
            </x14:dataBar>
          </x14:cfRule>
          <xm:sqref>CM18:CM23</xm:sqref>
        </x14:conditionalFormatting>
        <x14:conditionalFormatting xmlns:xm="http://schemas.microsoft.com/office/excel/2006/main">
          <x14:cfRule type="dataBar" id="{6631337F-CD53-439C-89FF-9DD3ECC3A172}">
            <x14:dataBar minLength="0" maxLength="100" border="1" negativeBarBorderColorSameAsPositive="0">
              <x14:cfvo type="autoMin"/>
              <x14:cfvo type="autoMax"/>
              <x14:borderColor rgb="FF63C384"/>
              <x14:negativeFillColor rgb="FFFF0000"/>
              <x14:negativeBorderColor rgb="FFFF0000"/>
              <x14:axisColor rgb="FF000000"/>
            </x14:dataBar>
          </x14:cfRule>
          <xm:sqref>CM19:CM23</xm:sqref>
        </x14:conditionalFormatting>
        <x14:conditionalFormatting xmlns:xm="http://schemas.microsoft.com/office/excel/2006/main">
          <x14:cfRule type="dataBar" id="{1FC3D710-B753-4E60-8AEA-CF53FAB5598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1524D55-2F13-4C15-9B54-BB1A58E59B92}">
            <x14:dataBar minLength="0" maxLength="100" border="1" negativeBarBorderColorSameAsPositive="0">
              <x14:cfvo type="autoMin"/>
              <x14:cfvo type="autoMax"/>
              <x14:borderColor rgb="FF63C384"/>
              <x14:negativeFillColor rgb="FFFF0000"/>
              <x14:negativeBorderColor rgb="FFFF0000"/>
              <x14:axisColor rgb="FF000000"/>
            </x14:dataBar>
          </x14:cfRule>
          <xm:sqref>CM27:CM30</xm:sqref>
        </x14:conditionalFormatting>
        <x14:conditionalFormatting xmlns:xm="http://schemas.microsoft.com/office/excel/2006/main">
          <x14:cfRule type="dataBar" id="{7ABA7123-D1F9-47CC-8EA6-5067F769D46B}">
            <x14:dataBar minLength="0" maxLength="100" border="1" negativeBarBorderColorSameAsPositive="0">
              <x14:cfvo type="autoMin"/>
              <x14:cfvo type="autoMax"/>
              <x14:borderColor rgb="FF63C384"/>
              <x14:negativeFillColor rgb="FFFF0000"/>
              <x14:negativeBorderColor rgb="FFFF0000"/>
              <x14:axisColor rgb="FF000000"/>
            </x14:dataBar>
          </x14:cfRule>
          <xm:sqref>CM27:CM31</xm:sqref>
        </x14:conditionalFormatting>
        <x14:conditionalFormatting xmlns:xm="http://schemas.microsoft.com/office/excel/2006/main">
          <x14:cfRule type="dataBar" id="{27564D01-B7ED-4A88-81A1-884A14030D75}">
            <x14:dataBar minLength="0" maxLength="100" border="1" negativeBarBorderColorSameAsPositive="0">
              <x14:cfvo type="autoMin"/>
              <x14:cfvo type="autoMax"/>
              <x14:borderColor rgb="FF63C384"/>
              <x14:negativeFillColor rgb="FFFF0000"/>
              <x14:negativeBorderColor rgb="FFFF0000"/>
              <x14:axisColor rgb="FF000000"/>
            </x14:dataBar>
          </x14:cfRule>
          <xm:sqref>CM28:CM31</xm:sqref>
        </x14:conditionalFormatting>
        <x14:conditionalFormatting xmlns:xm="http://schemas.microsoft.com/office/excel/2006/main">
          <x14:cfRule type="dataBar" id="{D8F25704-9766-4AB1-A5DC-592AA0AF794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D072335-54E1-46F4-96D6-BB77EE63271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C162C76-2259-496F-BC61-1F8339B9BBE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9EB6CCA-C318-4FE1-870E-27796800CF78}">
            <x14:dataBar minLength="0" maxLength="100" border="1" negativeBarBorderColorSameAsPositive="0">
              <x14:cfvo type="autoMin"/>
              <x14:cfvo type="autoMax"/>
              <x14:borderColor rgb="FF63C384"/>
              <x14:negativeFillColor rgb="FFFF0000"/>
              <x14:negativeBorderColor rgb="FFFF0000"/>
              <x14:axisColor rgb="FF000000"/>
            </x14:dataBar>
          </x14:cfRule>
          <xm:sqref>CM34:CM35</xm:sqref>
        </x14:conditionalFormatting>
        <x14:conditionalFormatting xmlns:xm="http://schemas.microsoft.com/office/excel/2006/main">
          <x14:cfRule type="dataBar" id="{EA2E8AD9-6922-4E8B-90BD-00D636DDC456}">
            <x14:dataBar minLength="0" maxLength="100" border="1" negativeBarBorderColorSameAsPositive="0">
              <x14:cfvo type="autoMin"/>
              <x14:cfvo type="autoMax"/>
              <x14:borderColor rgb="FF63C384"/>
              <x14:negativeFillColor rgb="FFFF0000"/>
              <x14:negativeBorderColor rgb="FFFF0000"/>
              <x14:axisColor rgb="FF000000"/>
            </x14:dataBar>
          </x14:cfRule>
          <xm:sqref>CM35</xm:sqref>
        </x14:conditionalFormatting>
        <x14:conditionalFormatting xmlns:xm="http://schemas.microsoft.com/office/excel/2006/main">
          <x14:cfRule type="dataBar" id="{ABDCA2D1-A910-4749-8207-039128D2C49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2CC1A4B-3CD9-430F-8C10-EE55ED75FE9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E23AE7F-E98F-4815-97DB-39C3D05772AE}">
            <x14:dataBar minLength="0" maxLength="100" border="1" negativeBarBorderColorSameAsPositive="0">
              <x14:cfvo type="autoMin"/>
              <x14:cfvo type="autoMax"/>
              <x14:borderColor rgb="FF63C384"/>
              <x14:negativeFillColor rgb="FFFF0000"/>
              <x14:negativeBorderColor rgb="FFFF0000"/>
              <x14:axisColor rgb="FF000000"/>
            </x14:dataBar>
          </x14:cfRule>
          <xm:sqref>CM39:CM42</xm:sqref>
        </x14:conditionalFormatting>
        <x14:conditionalFormatting xmlns:xm="http://schemas.microsoft.com/office/excel/2006/main">
          <x14:cfRule type="dataBar" id="{6BD9B0EC-12F1-416B-9328-182E5D37861B}">
            <x14:dataBar minLength="0" maxLength="100" border="1" negativeBarBorderColorSameAsPositive="0">
              <x14:cfvo type="autoMin"/>
              <x14:cfvo type="autoMax"/>
              <x14:borderColor rgb="FF63C384"/>
              <x14:negativeFillColor rgb="FFFF0000"/>
              <x14:negativeBorderColor rgb="FFFF0000"/>
              <x14:axisColor rgb="FF000000"/>
            </x14:dataBar>
          </x14:cfRule>
          <xm:sqref>CM40:CM42</xm:sqref>
        </x14:conditionalFormatting>
        <x14:conditionalFormatting xmlns:xm="http://schemas.microsoft.com/office/excel/2006/main">
          <x14:cfRule type="dataBar" id="{B7DB3831-3C05-4111-BF2D-D629AEA1FB1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539AD09-2A9A-4FDD-87DB-E6AF56EC0AB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16D4702-DCD0-4885-9094-E31482FE4674}">
            <x14:dataBar minLength="0" maxLength="100" border="1" negativeBarBorderColorSameAsPositive="0">
              <x14:cfvo type="autoMin"/>
              <x14:cfvo type="autoMax"/>
              <x14:borderColor rgb="FF63C384"/>
              <x14:negativeFillColor rgb="FFFF0000"/>
              <x14:negativeBorderColor rgb="FFFF0000"/>
              <x14:axisColor rgb="FF000000"/>
            </x14:dataBar>
          </x14:cfRule>
          <xm:sqref>CM46:CM48</xm:sqref>
        </x14:conditionalFormatting>
        <x14:conditionalFormatting xmlns:xm="http://schemas.microsoft.com/office/excel/2006/main">
          <x14:cfRule type="dataBar" id="{56E9B93F-02E9-43DF-8845-6160C6E726F2}">
            <x14:dataBar minLength="0" maxLength="100" border="1" negativeBarBorderColorSameAsPositive="0">
              <x14:cfvo type="autoMin"/>
              <x14:cfvo type="autoMax"/>
              <x14:borderColor rgb="FF63C384"/>
              <x14:negativeFillColor rgb="FFFF0000"/>
              <x14:negativeBorderColor rgb="FFFF0000"/>
              <x14:axisColor rgb="FF000000"/>
            </x14:dataBar>
          </x14:cfRule>
          <xm:sqref>CM47:CM48</xm:sqref>
        </x14:conditionalFormatting>
        <x14:conditionalFormatting xmlns:xm="http://schemas.microsoft.com/office/excel/2006/main">
          <x14:cfRule type="dataBar" id="{CEC87486-40FC-4C65-9515-AD8A05314AA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BD38104-25E0-496A-B0D5-D7BD5FB1785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694E3A0-A6BE-4136-A09F-663B4DD856A7}">
            <x14:dataBar minLength="0" maxLength="100" border="1" negativeBarBorderColorSameAsPositive="0">
              <x14:cfvo type="autoMin"/>
              <x14:cfvo type="autoMax"/>
              <x14:borderColor rgb="FF63C384"/>
              <x14:negativeFillColor rgb="FFFF0000"/>
              <x14:negativeBorderColor rgb="FFFF0000"/>
              <x14:axisColor rgb="FF000000"/>
            </x14:dataBar>
          </x14:cfRule>
          <xm:sqref>CU4:CU14</xm:sqref>
        </x14:conditionalFormatting>
        <x14:conditionalFormatting xmlns:xm="http://schemas.microsoft.com/office/excel/2006/main">
          <x14:cfRule type="dataBar" id="{B7E9F432-BEE1-4061-9A49-A300351B60C5}">
            <x14:dataBar minLength="0" maxLength="100" border="1" negativeBarBorderColorSameAsPositive="0">
              <x14:cfvo type="autoMin"/>
              <x14:cfvo type="autoMax"/>
              <x14:borderColor rgb="FF63C384"/>
              <x14:negativeFillColor rgb="FFFF0000"/>
              <x14:negativeBorderColor rgb="FFFF0000"/>
              <x14:axisColor rgb="FF000000"/>
            </x14:dataBar>
          </x14:cfRule>
          <xm:sqref>CU5:CU14</xm:sqref>
        </x14:conditionalFormatting>
        <x14:conditionalFormatting xmlns:xm="http://schemas.microsoft.com/office/excel/2006/main">
          <x14:cfRule type="dataBar" id="{0EDE2BFF-C059-42B3-9746-2343C2FF32D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4ADDCDB-176A-4766-920A-717FC7D4704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63E9DD2-8C28-4BBA-A842-5D5394819F68}">
            <x14:dataBar minLength="0" maxLength="100" border="1" negativeBarBorderColorSameAsPositive="0">
              <x14:cfvo type="autoMin"/>
              <x14:cfvo type="autoMax"/>
              <x14:borderColor rgb="FF63C384"/>
              <x14:negativeFillColor rgb="FFFF0000"/>
              <x14:negativeBorderColor rgb="FFFF0000"/>
              <x14:axisColor rgb="FF000000"/>
            </x14:dataBar>
          </x14:cfRule>
          <xm:sqref>CU18:CU23</xm:sqref>
        </x14:conditionalFormatting>
        <x14:conditionalFormatting xmlns:xm="http://schemas.microsoft.com/office/excel/2006/main">
          <x14:cfRule type="dataBar" id="{D115D21F-8F63-4F2F-A978-C86F7833D98B}">
            <x14:dataBar minLength="0" maxLength="100" border="1" negativeBarBorderColorSameAsPositive="0">
              <x14:cfvo type="autoMin"/>
              <x14:cfvo type="autoMax"/>
              <x14:borderColor rgb="FF63C384"/>
              <x14:negativeFillColor rgb="FFFF0000"/>
              <x14:negativeBorderColor rgb="FFFF0000"/>
              <x14:axisColor rgb="FF000000"/>
            </x14:dataBar>
          </x14:cfRule>
          <xm:sqref>CU19:CU23</xm:sqref>
        </x14:conditionalFormatting>
        <x14:conditionalFormatting xmlns:xm="http://schemas.microsoft.com/office/excel/2006/main">
          <x14:cfRule type="dataBar" id="{3A94F026-7809-407D-A41D-BCD1252CE8C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2201C98-D139-482B-98F7-83E88ADEDD57}">
            <x14:dataBar minLength="0" maxLength="100" border="1" negativeBarBorderColorSameAsPositive="0">
              <x14:cfvo type="autoMin"/>
              <x14:cfvo type="autoMax"/>
              <x14:borderColor rgb="FF63C384"/>
              <x14:negativeFillColor rgb="FFFF0000"/>
              <x14:negativeBorderColor rgb="FFFF0000"/>
              <x14:axisColor rgb="FF000000"/>
            </x14:dataBar>
          </x14:cfRule>
          <xm:sqref>CU27:CU30</xm:sqref>
        </x14:conditionalFormatting>
        <x14:conditionalFormatting xmlns:xm="http://schemas.microsoft.com/office/excel/2006/main">
          <x14:cfRule type="dataBar" id="{33DE4E2E-BBDB-4F48-B63F-444D206C0305}">
            <x14:dataBar minLength="0" maxLength="100" border="1" negativeBarBorderColorSameAsPositive="0">
              <x14:cfvo type="autoMin"/>
              <x14:cfvo type="autoMax"/>
              <x14:borderColor rgb="FF63C384"/>
              <x14:negativeFillColor rgb="FFFF0000"/>
              <x14:negativeBorderColor rgb="FFFF0000"/>
              <x14:axisColor rgb="FF000000"/>
            </x14:dataBar>
          </x14:cfRule>
          <xm:sqref>CU27:CU31</xm:sqref>
        </x14:conditionalFormatting>
        <x14:conditionalFormatting xmlns:xm="http://schemas.microsoft.com/office/excel/2006/main">
          <x14:cfRule type="dataBar" id="{888D665A-C369-4F04-A9B9-42ED20AD5F4A}">
            <x14:dataBar minLength="0" maxLength="100" border="1" negativeBarBorderColorSameAsPositive="0">
              <x14:cfvo type="autoMin"/>
              <x14:cfvo type="autoMax"/>
              <x14:borderColor rgb="FF63C384"/>
              <x14:negativeFillColor rgb="FFFF0000"/>
              <x14:negativeBorderColor rgb="FFFF0000"/>
              <x14:axisColor rgb="FF000000"/>
            </x14:dataBar>
          </x14:cfRule>
          <xm:sqref>CU28:CU31</xm:sqref>
        </x14:conditionalFormatting>
        <x14:conditionalFormatting xmlns:xm="http://schemas.microsoft.com/office/excel/2006/main">
          <x14:cfRule type="dataBar" id="{1F536C77-7C6A-4542-AA09-E6C7DEE5D1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98C125C-D1BD-4BFA-A6FD-10042DBBC184}">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301C537-B730-4E99-A585-3AAB80094ED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20C8F-2DA1-4A94-9748-86F535FADC74}">
            <x14:dataBar minLength="0" maxLength="100" border="1" negativeBarBorderColorSameAsPositive="0">
              <x14:cfvo type="autoMin"/>
              <x14:cfvo type="autoMax"/>
              <x14:borderColor rgb="FF63C384"/>
              <x14:negativeFillColor rgb="FFFF0000"/>
              <x14:negativeBorderColor rgb="FFFF0000"/>
              <x14:axisColor rgb="FF000000"/>
            </x14:dataBar>
          </x14:cfRule>
          <xm:sqref>CU34:CU35</xm:sqref>
        </x14:conditionalFormatting>
        <x14:conditionalFormatting xmlns:xm="http://schemas.microsoft.com/office/excel/2006/main">
          <x14:cfRule type="dataBar" id="{D72CC5EF-3D2E-440E-858D-6F49EDDDB087}">
            <x14:dataBar minLength="0" maxLength="100" border="1" negativeBarBorderColorSameAsPositive="0">
              <x14:cfvo type="autoMin"/>
              <x14:cfvo type="autoMax"/>
              <x14:borderColor rgb="FF63C384"/>
              <x14:negativeFillColor rgb="FFFF0000"/>
              <x14:negativeBorderColor rgb="FFFF0000"/>
              <x14:axisColor rgb="FF000000"/>
            </x14:dataBar>
          </x14:cfRule>
          <xm:sqref>CU35</xm:sqref>
        </x14:conditionalFormatting>
        <x14:conditionalFormatting xmlns:xm="http://schemas.microsoft.com/office/excel/2006/main">
          <x14:cfRule type="dataBar" id="{CB7B8FCB-138E-4FA2-B19D-1DFDEC438CD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CB262C2-920A-4981-846E-16A871909E68}">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1C35814-2ACA-4FD7-87B6-36E6C4D83EB0}">
            <x14:dataBar minLength="0" maxLength="100" border="1" negativeBarBorderColorSameAsPositive="0">
              <x14:cfvo type="autoMin"/>
              <x14:cfvo type="autoMax"/>
              <x14:borderColor rgb="FF63C384"/>
              <x14:negativeFillColor rgb="FFFF0000"/>
              <x14:negativeBorderColor rgb="FFFF0000"/>
              <x14:axisColor rgb="FF000000"/>
            </x14:dataBar>
          </x14:cfRule>
          <xm:sqref>CU39:CU42</xm:sqref>
        </x14:conditionalFormatting>
        <x14:conditionalFormatting xmlns:xm="http://schemas.microsoft.com/office/excel/2006/main">
          <x14:cfRule type="dataBar" id="{76C9CD25-0360-4300-9F19-C13385A52C04}">
            <x14:dataBar minLength="0" maxLength="100" border="1" negativeBarBorderColorSameAsPositive="0">
              <x14:cfvo type="autoMin"/>
              <x14:cfvo type="autoMax"/>
              <x14:borderColor rgb="FF63C384"/>
              <x14:negativeFillColor rgb="FFFF0000"/>
              <x14:negativeBorderColor rgb="FFFF0000"/>
              <x14:axisColor rgb="FF000000"/>
            </x14:dataBar>
          </x14:cfRule>
          <xm:sqref>CU40:CU42</xm:sqref>
        </x14:conditionalFormatting>
        <x14:conditionalFormatting xmlns:xm="http://schemas.microsoft.com/office/excel/2006/main">
          <x14:cfRule type="dataBar" id="{446F5D01-D983-4DFB-8310-BFC81CDE21C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E5E1E95-CAA7-4FCC-B38D-CA86DE05EB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978F113-4A37-404B-A5FF-073DD0CB7B40}">
            <x14:dataBar minLength="0" maxLength="100" border="1" negativeBarBorderColorSameAsPositive="0">
              <x14:cfvo type="autoMin"/>
              <x14:cfvo type="autoMax"/>
              <x14:borderColor rgb="FF63C384"/>
              <x14:negativeFillColor rgb="FFFF0000"/>
              <x14:negativeBorderColor rgb="FFFF0000"/>
              <x14:axisColor rgb="FF000000"/>
            </x14:dataBar>
          </x14:cfRule>
          <xm:sqref>CU46:CU48</xm:sqref>
        </x14:conditionalFormatting>
        <x14:conditionalFormatting xmlns:xm="http://schemas.microsoft.com/office/excel/2006/main">
          <x14:cfRule type="dataBar" id="{8CFAF7F3-1D12-4749-B169-53BFF315A053}">
            <x14:dataBar minLength="0" maxLength="100" border="1" negativeBarBorderColorSameAsPositive="0">
              <x14:cfvo type="autoMin"/>
              <x14:cfvo type="autoMax"/>
              <x14:borderColor rgb="FF63C384"/>
              <x14:negativeFillColor rgb="FFFF0000"/>
              <x14:negativeBorderColor rgb="FFFF0000"/>
              <x14:axisColor rgb="FF000000"/>
            </x14:dataBar>
          </x14:cfRule>
          <xm:sqref>CU47:CU48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DCAA-637B-4939-A4D1-AFCA1AD7D543}">
  <sheetPr codeName="Sheet9">
    <tabColor rgb="FFFF0000"/>
  </sheetPr>
  <dimension ref="A1:C443"/>
  <sheetViews>
    <sheetView showGridLines="0" zoomScale="62" workbookViewId="0">
      <selection activeCell="F20" sqref="F20"/>
    </sheetView>
  </sheetViews>
  <sheetFormatPr defaultRowHeight="16.5"/>
  <cols>
    <col min="1" max="1" width="14" style="1" bestFit="1" customWidth="1"/>
    <col min="2" max="2" width="14.90625" style="1" bestFit="1" customWidth="1"/>
    <col min="3" max="3" width="9.453125" style="1" bestFit="1" customWidth="1"/>
    <col min="4" max="4" width="8.7265625" style="1"/>
    <col min="5" max="5" width="12.453125" style="1" bestFit="1" customWidth="1"/>
    <col min="6" max="6" width="11.81640625" style="1" bestFit="1" customWidth="1"/>
    <col min="7" max="16384" width="8.7265625" style="1"/>
  </cols>
  <sheetData>
    <row r="1" spans="1:2">
      <c r="A1" s="4" t="s">
        <v>2</v>
      </c>
      <c r="B1" s="1" t="s">
        <v>38</v>
      </c>
    </row>
    <row r="3" spans="1:2">
      <c r="A3" s="4" t="s">
        <v>72</v>
      </c>
      <c r="B3" s="1" t="s">
        <v>96</v>
      </c>
    </row>
    <row r="4" spans="1:2">
      <c r="A4" s="5" t="s">
        <v>77</v>
      </c>
      <c r="B4" s="1">
        <v>3</v>
      </c>
    </row>
    <row r="5" spans="1:2">
      <c r="A5" s="5" t="s">
        <v>78</v>
      </c>
      <c r="B5" s="1">
        <v>4</v>
      </c>
    </row>
    <row r="6" spans="1:2">
      <c r="A6" s="5" t="s">
        <v>86</v>
      </c>
      <c r="B6" s="1">
        <v>12</v>
      </c>
    </row>
    <row r="7" spans="1:2">
      <c r="A7" s="5" t="s">
        <v>87</v>
      </c>
      <c r="B7" s="1">
        <v>5</v>
      </c>
    </row>
    <row r="8" spans="1:2">
      <c r="A8" s="5" t="s">
        <v>88</v>
      </c>
      <c r="B8" s="1">
        <v>7</v>
      </c>
    </row>
    <row r="9" spans="1:2">
      <c r="A9" s="5" t="s">
        <v>89</v>
      </c>
      <c r="B9" s="1">
        <v>2</v>
      </c>
    </row>
    <row r="10" spans="1:2">
      <c r="A10" s="5" t="s">
        <v>90</v>
      </c>
      <c r="B10" s="1">
        <v>5</v>
      </c>
    </row>
    <row r="11" spans="1:2">
      <c r="A11" s="5" t="s">
        <v>91</v>
      </c>
      <c r="B11" s="1">
        <v>3</v>
      </c>
    </row>
    <row r="12" spans="1:2">
      <c r="A12" s="5" t="s">
        <v>92</v>
      </c>
      <c r="B12" s="1">
        <v>6</v>
      </c>
    </row>
    <row r="13" spans="1:2">
      <c r="A13" s="5" t="s">
        <v>93</v>
      </c>
      <c r="B13" s="1">
        <v>7</v>
      </c>
    </row>
    <row r="14" spans="1:2">
      <c r="A14" s="5" t="s">
        <v>94</v>
      </c>
      <c r="B14" s="1">
        <v>8</v>
      </c>
    </row>
    <row r="15" spans="1:2">
      <c r="A15" s="5" t="s">
        <v>95</v>
      </c>
      <c r="B15" s="1">
        <v>9</v>
      </c>
    </row>
    <row r="16" spans="1:2">
      <c r="A16" s="5" t="s">
        <v>84</v>
      </c>
      <c r="B16" s="1">
        <v>8</v>
      </c>
    </row>
    <row r="17" spans="1:3">
      <c r="A17" s="5" t="s">
        <v>85</v>
      </c>
      <c r="B17" s="1">
        <v>4</v>
      </c>
    </row>
    <row r="18" spans="1:3">
      <c r="A18" s="5" t="s">
        <v>73</v>
      </c>
      <c r="B18" s="1">
        <v>12</v>
      </c>
    </row>
    <row r="23" spans="1:3">
      <c r="A23" s="1" t="s">
        <v>2</v>
      </c>
      <c r="B23" s="1" t="s">
        <v>37</v>
      </c>
      <c r="C23" s="1" t="s">
        <v>74</v>
      </c>
    </row>
    <row r="24" spans="1:3">
      <c r="A24" s="1" t="s">
        <v>38</v>
      </c>
      <c r="B24" s="1" t="s">
        <v>77</v>
      </c>
      <c r="C24" s="1">
        <v>3</v>
      </c>
    </row>
    <row r="25" spans="1:3">
      <c r="A25" s="1" t="s">
        <v>38</v>
      </c>
      <c r="B25" s="1" t="s">
        <v>78</v>
      </c>
      <c r="C25" s="1">
        <v>4</v>
      </c>
    </row>
    <row r="26" spans="1:3">
      <c r="A26" s="1" t="s">
        <v>38</v>
      </c>
      <c r="B26" s="1" t="s">
        <v>86</v>
      </c>
      <c r="C26" s="1">
        <v>12</v>
      </c>
    </row>
    <row r="27" spans="1:3">
      <c r="A27" s="1" t="s">
        <v>38</v>
      </c>
      <c r="B27" s="1" t="s">
        <v>87</v>
      </c>
      <c r="C27" s="1">
        <v>5</v>
      </c>
    </row>
    <row r="28" spans="1:3">
      <c r="A28" s="1" t="s">
        <v>38</v>
      </c>
      <c r="B28" s="1" t="s">
        <v>88</v>
      </c>
      <c r="C28" s="1">
        <v>7</v>
      </c>
    </row>
    <row r="29" spans="1:3">
      <c r="A29" s="1" t="s">
        <v>38</v>
      </c>
      <c r="B29" s="1" t="s">
        <v>89</v>
      </c>
      <c r="C29" s="1">
        <v>2</v>
      </c>
    </row>
    <row r="30" spans="1:3">
      <c r="A30" s="1" t="s">
        <v>38</v>
      </c>
      <c r="B30" s="1" t="s">
        <v>90</v>
      </c>
      <c r="C30" s="1">
        <v>5</v>
      </c>
    </row>
    <row r="31" spans="1:3">
      <c r="A31" s="1" t="s">
        <v>38</v>
      </c>
      <c r="B31" s="1" t="s">
        <v>91</v>
      </c>
      <c r="C31" s="1">
        <v>3</v>
      </c>
    </row>
    <row r="32" spans="1:3">
      <c r="A32" s="1" t="s">
        <v>38</v>
      </c>
      <c r="B32" s="1" t="s">
        <v>92</v>
      </c>
      <c r="C32" s="1">
        <v>6</v>
      </c>
    </row>
    <row r="33" spans="1:3">
      <c r="A33" s="1" t="s">
        <v>38</v>
      </c>
      <c r="B33" s="1" t="s">
        <v>93</v>
      </c>
      <c r="C33" s="1">
        <v>7</v>
      </c>
    </row>
    <row r="34" spans="1:3">
      <c r="A34" s="1" t="s">
        <v>38</v>
      </c>
      <c r="B34" s="1" t="s">
        <v>94</v>
      </c>
      <c r="C34" s="1">
        <v>8</v>
      </c>
    </row>
    <row r="35" spans="1:3">
      <c r="A35" s="1" t="s">
        <v>38</v>
      </c>
      <c r="B35" s="1" t="s">
        <v>95</v>
      </c>
      <c r="C35" s="1">
        <v>9</v>
      </c>
    </row>
    <row r="36" spans="1:3">
      <c r="A36" s="1" t="s">
        <v>38</v>
      </c>
      <c r="B36" s="1" t="s">
        <v>84</v>
      </c>
      <c r="C36" s="1">
        <v>8</v>
      </c>
    </row>
    <row r="37" spans="1:3">
      <c r="A37" s="1" t="s">
        <v>38</v>
      </c>
      <c r="B37" s="1" t="s">
        <v>85</v>
      </c>
      <c r="C37" s="1">
        <v>4</v>
      </c>
    </row>
    <row r="38" spans="1:3">
      <c r="A38" s="1" t="s">
        <v>39</v>
      </c>
      <c r="B38" s="1" t="s">
        <v>77</v>
      </c>
      <c r="C38" s="1">
        <v>3</v>
      </c>
    </row>
    <row r="39" spans="1:3">
      <c r="A39" s="1" t="s">
        <v>39</v>
      </c>
      <c r="B39" s="1" t="s">
        <v>78</v>
      </c>
      <c r="C39" s="1">
        <v>4</v>
      </c>
    </row>
    <row r="40" spans="1:3">
      <c r="A40" s="1" t="s">
        <v>39</v>
      </c>
      <c r="B40" s="1" t="s">
        <v>86</v>
      </c>
      <c r="C40" s="1">
        <v>12</v>
      </c>
    </row>
    <row r="41" spans="1:3">
      <c r="A41" s="1" t="s">
        <v>39</v>
      </c>
      <c r="B41" s="1" t="s">
        <v>87</v>
      </c>
      <c r="C41" s="1">
        <v>5</v>
      </c>
    </row>
    <row r="42" spans="1:3">
      <c r="A42" s="1" t="s">
        <v>39</v>
      </c>
      <c r="B42" s="1" t="s">
        <v>88</v>
      </c>
      <c r="C42" s="1">
        <v>7</v>
      </c>
    </row>
    <row r="43" spans="1:3">
      <c r="A43" s="1" t="s">
        <v>39</v>
      </c>
      <c r="B43" s="1" t="s">
        <v>89</v>
      </c>
      <c r="C43" s="1">
        <v>2</v>
      </c>
    </row>
    <row r="44" spans="1:3">
      <c r="A44" s="1" t="s">
        <v>39</v>
      </c>
      <c r="B44" s="1" t="s">
        <v>90</v>
      </c>
      <c r="C44" s="1">
        <v>5</v>
      </c>
    </row>
    <row r="45" spans="1:3">
      <c r="A45" s="1" t="s">
        <v>39</v>
      </c>
      <c r="B45" s="1" t="s">
        <v>91</v>
      </c>
      <c r="C45" s="1">
        <v>3</v>
      </c>
    </row>
    <row r="46" spans="1:3">
      <c r="A46" s="1" t="s">
        <v>39</v>
      </c>
      <c r="B46" s="1" t="s">
        <v>92</v>
      </c>
      <c r="C46" s="1">
        <v>6</v>
      </c>
    </row>
    <row r="47" spans="1:3">
      <c r="A47" s="1" t="s">
        <v>39</v>
      </c>
      <c r="B47" s="1" t="s">
        <v>93</v>
      </c>
      <c r="C47" s="1">
        <v>7</v>
      </c>
    </row>
    <row r="48" spans="1:3">
      <c r="A48" s="1" t="s">
        <v>39</v>
      </c>
      <c r="B48" s="1" t="s">
        <v>94</v>
      </c>
      <c r="C48" s="1">
        <v>8</v>
      </c>
    </row>
    <row r="49" spans="1:3">
      <c r="A49" s="1" t="s">
        <v>39</v>
      </c>
      <c r="B49" s="1" t="s">
        <v>95</v>
      </c>
      <c r="C49" s="1">
        <v>9</v>
      </c>
    </row>
    <row r="50" spans="1:3">
      <c r="A50" s="1" t="s">
        <v>39</v>
      </c>
      <c r="B50" s="1" t="s">
        <v>84</v>
      </c>
      <c r="C50" s="1">
        <v>8</v>
      </c>
    </row>
    <row r="51" spans="1:3">
      <c r="A51" s="1" t="s">
        <v>39</v>
      </c>
      <c r="B51" s="1" t="s">
        <v>85</v>
      </c>
      <c r="C51" s="1">
        <v>4</v>
      </c>
    </row>
    <row r="52" spans="1:3">
      <c r="A52" s="1" t="s">
        <v>40</v>
      </c>
      <c r="B52" s="1" t="s">
        <v>77</v>
      </c>
      <c r="C52" s="1">
        <v>3</v>
      </c>
    </row>
    <row r="53" spans="1:3">
      <c r="A53" s="1" t="s">
        <v>40</v>
      </c>
      <c r="B53" s="1" t="s">
        <v>78</v>
      </c>
      <c r="C53" s="1">
        <v>4</v>
      </c>
    </row>
    <row r="54" spans="1:3">
      <c r="A54" s="1" t="s">
        <v>40</v>
      </c>
      <c r="B54" s="1" t="s">
        <v>86</v>
      </c>
      <c r="C54" s="1">
        <v>12</v>
      </c>
    </row>
    <row r="55" spans="1:3">
      <c r="A55" s="1" t="s">
        <v>40</v>
      </c>
      <c r="B55" s="1" t="s">
        <v>87</v>
      </c>
      <c r="C55" s="1">
        <v>5</v>
      </c>
    </row>
    <row r="56" spans="1:3">
      <c r="A56" s="1" t="s">
        <v>40</v>
      </c>
      <c r="B56" s="1" t="s">
        <v>88</v>
      </c>
      <c r="C56" s="1">
        <v>7</v>
      </c>
    </row>
    <row r="57" spans="1:3">
      <c r="A57" s="1" t="s">
        <v>40</v>
      </c>
      <c r="B57" s="1" t="s">
        <v>89</v>
      </c>
      <c r="C57" s="1">
        <v>2</v>
      </c>
    </row>
    <row r="58" spans="1:3">
      <c r="A58" s="1" t="s">
        <v>40</v>
      </c>
      <c r="B58" s="1" t="s">
        <v>90</v>
      </c>
      <c r="C58" s="1">
        <v>5</v>
      </c>
    </row>
    <row r="59" spans="1:3">
      <c r="A59" s="1" t="s">
        <v>40</v>
      </c>
      <c r="B59" s="1" t="s">
        <v>91</v>
      </c>
      <c r="C59" s="1">
        <v>3</v>
      </c>
    </row>
    <row r="60" spans="1:3">
      <c r="A60" s="1" t="s">
        <v>40</v>
      </c>
      <c r="B60" s="1" t="s">
        <v>92</v>
      </c>
      <c r="C60" s="1">
        <v>6</v>
      </c>
    </row>
    <row r="61" spans="1:3">
      <c r="A61" s="1" t="s">
        <v>40</v>
      </c>
      <c r="B61" s="1" t="s">
        <v>93</v>
      </c>
      <c r="C61" s="1">
        <v>7</v>
      </c>
    </row>
    <row r="62" spans="1:3">
      <c r="A62" s="1" t="s">
        <v>40</v>
      </c>
      <c r="B62" s="1" t="s">
        <v>94</v>
      </c>
      <c r="C62" s="1">
        <v>8</v>
      </c>
    </row>
    <row r="63" spans="1:3">
      <c r="A63" s="1" t="s">
        <v>40</v>
      </c>
      <c r="B63" s="1" t="s">
        <v>95</v>
      </c>
      <c r="C63" s="1">
        <v>9</v>
      </c>
    </row>
    <row r="64" spans="1:3">
      <c r="A64" s="1" t="s">
        <v>40</v>
      </c>
      <c r="B64" s="1" t="s">
        <v>84</v>
      </c>
      <c r="C64" s="1">
        <v>8</v>
      </c>
    </row>
    <row r="65" spans="1:3">
      <c r="A65" s="1" t="s">
        <v>40</v>
      </c>
      <c r="B65" s="1" t="s">
        <v>85</v>
      </c>
      <c r="C65" s="1">
        <v>4</v>
      </c>
    </row>
    <row r="66" spans="1:3">
      <c r="A66" s="1" t="s">
        <v>41</v>
      </c>
      <c r="B66" s="1" t="s">
        <v>77</v>
      </c>
      <c r="C66" s="1">
        <v>3</v>
      </c>
    </row>
    <row r="67" spans="1:3">
      <c r="A67" s="1" t="s">
        <v>41</v>
      </c>
      <c r="B67" s="1" t="s">
        <v>78</v>
      </c>
      <c r="C67" s="1">
        <v>4</v>
      </c>
    </row>
    <row r="68" spans="1:3">
      <c r="A68" s="1" t="s">
        <v>41</v>
      </c>
      <c r="B68" s="1" t="s">
        <v>86</v>
      </c>
      <c r="C68" s="1">
        <v>12</v>
      </c>
    </row>
    <row r="69" spans="1:3">
      <c r="A69" s="1" t="s">
        <v>41</v>
      </c>
      <c r="B69" s="1" t="s">
        <v>87</v>
      </c>
      <c r="C69" s="1">
        <v>5</v>
      </c>
    </row>
    <row r="70" spans="1:3">
      <c r="A70" s="1" t="s">
        <v>41</v>
      </c>
      <c r="B70" s="1" t="s">
        <v>88</v>
      </c>
      <c r="C70" s="1">
        <v>7</v>
      </c>
    </row>
    <row r="71" spans="1:3">
      <c r="A71" s="1" t="s">
        <v>41</v>
      </c>
      <c r="B71" s="1" t="s">
        <v>89</v>
      </c>
      <c r="C71" s="1">
        <v>2</v>
      </c>
    </row>
    <row r="72" spans="1:3">
      <c r="A72" s="1" t="s">
        <v>41</v>
      </c>
      <c r="B72" s="1" t="s">
        <v>90</v>
      </c>
      <c r="C72" s="1">
        <v>5</v>
      </c>
    </row>
    <row r="73" spans="1:3">
      <c r="A73" s="1" t="s">
        <v>41</v>
      </c>
      <c r="B73" s="1" t="s">
        <v>91</v>
      </c>
      <c r="C73" s="1">
        <v>3</v>
      </c>
    </row>
    <row r="74" spans="1:3">
      <c r="A74" s="1" t="s">
        <v>41</v>
      </c>
      <c r="B74" s="1" t="s">
        <v>92</v>
      </c>
      <c r="C74" s="1">
        <v>6</v>
      </c>
    </row>
    <row r="75" spans="1:3">
      <c r="A75" s="1" t="s">
        <v>41</v>
      </c>
      <c r="B75" s="1" t="s">
        <v>93</v>
      </c>
      <c r="C75" s="1">
        <v>7</v>
      </c>
    </row>
    <row r="76" spans="1:3">
      <c r="A76" s="1" t="s">
        <v>41</v>
      </c>
      <c r="B76" s="1" t="s">
        <v>94</v>
      </c>
      <c r="C76" s="1">
        <v>8</v>
      </c>
    </row>
    <row r="77" spans="1:3">
      <c r="A77" s="1" t="s">
        <v>41</v>
      </c>
      <c r="B77" s="1" t="s">
        <v>95</v>
      </c>
      <c r="C77" s="1">
        <v>9</v>
      </c>
    </row>
    <row r="78" spans="1:3">
      <c r="A78" s="1" t="s">
        <v>41</v>
      </c>
      <c r="B78" s="1" t="s">
        <v>84</v>
      </c>
      <c r="C78" s="1">
        <v>8</v>
      </c>
    </row>
    <row r="79" spans="1:3">
      <c r="A79" s="1" t="s">
        <v>41</v>
      </c>
      <c r="B79" s="1" t="s">
        <v>85</v>
      </c>
      <c r="C79" s="1">
        <v>4</v>
      </c>
    </row>
    <row r="80" spans="1:3">
      <c r="A80" s="1" t="s">
        <v>42</v>
      </c>
      <c r="B80" s="1" t="s">
        <v>77</v>
      </c>
      <c r="C80" s="1">
        <v>3</v>
      </c>
    </row>
    <row r="81" spans="1:3">
      <c r="A81" s="1" t="s">
        <v>42</v>
      </c>
      <c r="B81" s="1" t="s">
        <v>78</v>
      </c>
      <c r="C81" s="1">
        <v>4</v>
      </c>
    </row>
    <row r="82" spans="1:3">
      <c r="A82" s="1" t="s">
        <v>42</v>
      </c>
      <c r="B82" s="1" t="s">
        <v>86</v>
      </c>
      <c r="C82" s="1">
        <v>12</v>
      </c>
    </row>
    <row r="83" spans="1:3">
      <c r="A83" s="1" t="s">
        <v>42</v>
      </c>
      <c r="B83" s="1" t="s">
        <v>87</v>
      </c>
      <c r="C83" s="1">
        <v>5</v>
      </c>
    </row>
    <row r="84" spans="1:3">
      <c r="A84" s="1" t="s">
        <v>42</v>
      </c>
      <c r="B84" s="1" t="s">
        <v>88</v>
      </c>
      <c r="C84" s="1">
        <v>7</v>
      </c>
    </row>
    <row r="85" spans="1:3">
      <c r="A85" s="1" t="s">
        <v>42</v>
      </c>
      <c r="B85" s="1" t="s">
        <v>89</v>
      </c>
      <c r="C85" s="1">
        <v>2</v>
      </c>
    </row>
    <row r="86" spans="1:3">
      <c r="A86" s="1" t="s">
        <v>42</v>
      </c>
      <c r="B86" s="1" t="s">
        <v>90</v>
      </c>
      <c r="C86" s="1">
        <v>5</v>
      </c>
    </row>
    <row r="87" spans="1:3">
      <c r="A87" s="1" t="s">
        <v>42</v>
      </c>
      <c r="B87" s="1" t="s">
        <v>91</v>
      </c>
      <c r="C87" s="1">
        <v>3</v>
      </c>
    </row>
    <row r="88" spans="1:3">
      <c r="A88" s="1" t="s">
        <v>42</v>
      </c>
      <c r="B88" s="1" t="s">
        <v>92</v>
      </c>
      <c r="C88" s="1">
        <v>6</v>
      </c>
    </row>
    <row r="89" spans="1:3">
      <c r="A89" s="1" t="s">
        <v>42</v>
      </c>
      <c r="B89" s="1" t="s">
        <v>93</v>
      </c>
      <c r="C89" s="1">
        <v>7</v>
      </c>
    </row>
    <row r="90" spans="1:3">
      <c r="A90" s="1" t="s">
        <v>42</v>
      </c>
      <c r="B90" s="1" t="s">
        <v>94</v>
      </c>
      <c r="C90" s="1">
        <v>8</v>
      </c>
    </row>
    <row r="91" spans="1:3">
      <c r="A91" s="1" t="s">
        <v>42</v>
      </c>
      <c r="B91" s="1" t="s">
        <v>95</v>
      </c>
      <c r="C91" s="1">
        <v>9</v>
      </c>
    </row>
    <row r="92" spans="1:3">
      <c r="A92" s="1" t="s">
        <v>42</v>
      </c>
      <c r="B92" s="1" t="s">
        <v>84</v>
      </c>
      <c r="C92" s="1">
        <v>8</v>
      </c>
    </row>
    <row r="93" spans="1:3">
      <c r="A93" s="1" t="s">
        <v>42</v>
      </c>
      <c r="B93" s="1" t="s">
        <v>85</v>
      </c>
      <c r="C93" s="1">
        <v>4</v>
      </c>
    </row>
    <row r="94" spans="1:3">
      <c r="A94" s="1" t="s">
        <v>43</v>
      </c>
      <c r="B94" s="1" t="s">
        <v>77</v>
      </c>
      <c r="C94" s="1">
        <v>3</v>
      </c>
    </row>
    <row r="95" spans="1:3">
      <c r="A95" s="1" t="s">
        <v>43</v>
      </c>
      <c r="B95" s="1" t="s">
        <v>78</v>
      </c>
      <c r="C95" s="1">
        <v>4</v>
      </c>
    </row>
    <row r="96" spans="1:3">
      <c r="A96" s="1" t="s">
        <v>43</v>
      </c>
      <c r="B96" s="1" t="s">
        <v>86</v>
      </c>
      <c r="C96" s="1">
        <v>12</v>
      </c>
    </row>
    <row r="97" spans="1:3">
      <c r="A97" s="1" t="s">
        <v>43</v>
      </c>
      <c r="B97" s="1" t="s">
        <v>87</v>
      </c>
      <c r="C97" s="1">
        <v>5</v>
      </c>
    </row>
    <row r="98" spans="1:3">
      <c r="A98" s="1" t="s">
        <v>43</v>
      </c>
      <c r="B98" s="1" t="s">
        <v>88</v>
      </c>
      <c r="C98" s="1">
        <v>7</v>
      </c>
    </row>
    <row r="99" spans="1:3">
      <c r="A99" s="1" t="s">
        <v>43</v>
      </c>
      <c r="B99" s="1" t="s">
        <v>89</v>
      </c>
      <c r="C99" s="1">
        <v>2</v>
      </c>
    </row>
    <row r="100" spans="1:3">
      <c r="A100" s="1" t="s">
        <v>43</v>
      </c>
      <c r="B100" s="1" t="s">
        <v>90</v>
      </c>
      <c r="C100" s="1">
        <v>5</v>
      </c>
    </row>
    <row r="101" spans="1:3">
      <c r="A101" s="1" t="s">
        <v>43</v>
      </c>
      <c r="B101" s="1" t="s">
        <v>91</v>
      </c>
      <c r="C101" s="1">
        <v>3</v>
      </c>
    </row>
    <row r="102" spans="1:3">
      <c r="A102" s="1" t="s">
        <v>43</v>
      </c>
      <c r="B102" s="1" t="s">
        <v>92</v>
      </c>
      <c r="C102" s="1">
        <v>6</v>
      </c>
    </row>
    <row r="103" spans="1:3">
      <c r="A103" s="1" t="s">
        <v>43</v>
      </c>
      <c r="B103" s="1" t="s">
        <v>93</v>
      </c>
      <c r="C103" s="1">
        <v>7</v>
      </c>
    </row>
    <row r="104" spans="1:3">
      <c r="A104" s="1" t="s">
        <v>43</v>
      </c>
      <c r="B104" s="1" t="s">
        <v>94</v>
      </c>
      <c r="C104" s="1">
        <v>8</v>
      </c>
    </row>
    <row r="105" spans="1:3">
      <c r="A105" s="1" t="s">
        <v>43</v>
      </c>
      <c r="B105" s="1" t="s">
        <v>95</v>
      </c>
      <c r="C105" s="1">
        <v>9</v>
      </c>
    </row>
    <row r="106" spans="1:3">
      <c r="A106" s="1" t="s">
        <v>43</v>
      </c>
      <c r="B106" s="1" t="s">
        <v>84</v>
      </c>
      <c r="C106" s="1">
        <v>8</v>
      </c>
    </row>
    <row r="107" spans="1:3">
      <c r="A107" s="1" t="s">
        <v>43</v>
      </c>
      <c r="B107" s="1" t="s">
        <v>85</v>
      </c>
      <c r="C107" s="1">
        <v>4</v>
      </c>
    </row>
    <row r="108" spans="1:3">
      <c r="A108" s="1" t="s">
        <v>44</v>
      </c>
      <c r="B108" s="1" t="s">
        <v>77</v>
      </c>
      <c r="C108" s="1">
        <v>3</v>
      </c>
    </row>
    <row r="109" spans="1:3">
      <c r="A109" s="1" t="s">
        <v>44</v>
      </c>
      <c r="B109" s="1" t="s">
        <v>78</v>
      </c>
      <c r="C109" s="1">
        <v>4</v>
      </c>
    </row>
    <row r="110" spans="1:3">
      <c r="A110" s="1" t="s">
        <v>44</v>
      </c>
      <c r="B110" s="1" t="s">
        <v>86</v>
      </c>
      <c r="C110" s="1">
        <v>12</v>
      </c>
    </row>
    <row r="111" spans="1:3">
      <c r="A111" s="1" t="s">
        <v>44</v>
      </c>
      <c r="B111" s="1" t="s">
        <v>87</v>
      </c>
      <c r="C111" s="1">
        <v>5</v>
      </c>
    </row>
    <row r="112" spans="1:3">
      <c r="A112" s="1" t="s">
        <v>44</v>
      </c>
      <c r="B112" s="1" t="s">
        <v>88</v>
      </c>
      <c r="C112" s="1">
        <v>7</v>
      </c>
    </row>
    <row r="113" spans="1:3">
      <c r="A113" s="1" t="s">
        <v>44</v>
      </c>
      <c r="B113" s="1" t="s">
        <v>89</v>
      </c>
      <c r="C113" s="1">
        <v>2</v>
      </c>
    </row>
    <row r="114" spans="1:3">
      <c r="A114" s="1" t="s">
        <v>44</v>
      </c>
      <c r="B114" s="1" t="s">
        <v>90</v>
      </c>
      <c r="C114" s="1">
        <v>5</v>
      </c>
    </row>
    <row r="115" spans="1:3">
      <c r="A115" s="1" t="s">
        <v>44</v>
      </c>
      <c r="B115" s="1" t="s">
        <v>91</v>
      </c>
      <c r="C115" s="1">
        <v>3</v>
      </c>
    </row>
    <row r="116" spans="1:3">
      <c r="A116" s="1" t="s">
        <v>44</v>
      </c>
      <c r="B116" s="1" t="s">
        <v>92</v>
      </c>
      <c r="C116" s="1">
        <v>6</v>
      </c>
    </row>
    <row r="117" spans="1:3">
      <c r="A117" s="1" t="s">
        <v>44</v>
      </c>
      <c r="B117" s="1" t="s">
        <v>93</v>
      </c>
      <c r="C117" s="1">
        <v>7</v>
      </c>
    </row>
    <row r="118" spans="1:3">
      <c r="A118" s="1" t="s">
        <v>44</v>
      </c>
      <c r="B118" s="1" t="s">
        <v>94</v>
      </c>
      <c r="C118" s="1">
        <v>8</v>
      </c>
    </row>
    <row r="119" spans="1:3">
      <c r="A119" s="1" t="s">
        <v>44</v>
      </c>
      <c r="B119" s="1" t="s">
        <v>95</v>
      </c>
      <c r="C119" s="1">
        <v>9</v>
      </c>
    </row>
    <row r="120" spans="1:3">
      <c r="A120" s="1" t="s">
        <v>44</v>
      </c>
      <c r="B120" s="1" t="s">
        <v>84</v>
      </c>
      <c r="C120" s="1">
        <v>8</v>
      </c>
    </row>
    <row r="121" spans="1:3">
      <c r="A121" s="1" t="s">
        <v>44</v>
      </c>
      <c r="B121" s="1" t="s">
        <v>85</v>
      </c>
      <c r="C121" s="1">
        <v>4</v>
      </c>
    </row>
    <row r="122" spans="1:3">
      <c r="A122" s="1" t="s">
        <v>45</v>
      </c>
      <c r="B122" s="1" t="s">
        <v>77</v>
      </c>
      <c r="C122" s="1">
        <v>3</v>
      </c>
    </row>
    <row r="123" spans="1:3">
      <c r="A123" s="1" t="s">
        <v>45</v>
      </c>
      <c r="B123" s="1" t="s">
        <v>78</v>
      </c>
      <c r="C123" s="1">
        <v>4</v>
      </c>
    </row>
    <row r="124" spans="1:3">
      <c r="A124" s="1" t="s">
        <v>45</v>
      </c>
      <c r="B124" s="1" t="s">
        <v>86</v>
      </c>
      <c r="C124" s="1">
        <v>12</v>
      </c>
    </row>
    <row r="125" spans="1:3">
      <c r="A125" s="1" t="s">
        <v>45</v>
      </c>
      <c r="B125" s="1" t="s">
        <v>87</v>
      </c>
      <c r="C125" s="1">
        <v>5</v>
      </c>
    </row>
    <row r="126" spans="1:3">
      <c r="A126" s="1" t="s">
        <v>45</v>
      </c>
      <c r="B126" s="1" t="s">
        <v>88</v>
      </c>
      <c r="C126" s="1">
        <v>7</v>
      </c>
    </row>
    <row r="127" spans="1:3">
      <c r="A127" s="1" t="s">
        <v>45</v>
      </c>
      <c r="B127" s="1" t="s">
        <v>89</v>
      </c>
      <c r="C127" s="1">
        <v>2</v>
      </c>
    </row>
    <row r="128" spans="1:3">
      <c r="A128" s="1" t="s">
        <v>45</v>
      </c>
      <c r="B128" s="1" t="s">
        <v>90</v>
      </c>
      <c r="C128" s="1">
        <v>5</v>
      </c>
    </row>
    <row r="129" spans="1:3">
      <c r="A129" s="1" t="s">
        <v>45</v>
      </c>
      <c r="B129" s="1" t="s">
        <v>91</v>
      </c>
      <c r="C129" s="1">
        <v>3</v>
      </c>
    </row>
    <row r="130" spans="1:3">
      <c r="A130" s="1" t="s">
        <v>45</v>
      </c>
      <c r="B130" s="1" t="s">
        <v>92</v>
      </c>
      <c r="C130" s="1">
        <v>6</v>
      </c>
    </row>
    <row r="131" spans="1:3">
      <c r="A131" s="1" t="s">
        <v>45</v>
      </c>
      <c r="B131" s="1" t="s">
        <v>93</v>
      </c>
      <c r="C131" s="1">
        <v>7</v>
      </c>
    </row>
    <row r="132" spans="1:3">
      <c r="A132" s="1" t="s">
        <v>45</v>
      </c>
      <c r="B132" s="1" t="s">
        <v>94</v>
      </c>
      <c r="C132" s="1">
        <v>8</v>
      </c>
    </row>
    <row r="133" spans="1:3">
      <c r="A133" s="1" t="s">
        <v>45</v>
      </c>
      <c r="B133" s="1" t="s">
        <v>95</v>
      </c>
      <c r="C133" s="1">
        <v>9</v>
      </c>
    </row>
    <row r="134" spans="1:3">
      <c r="A134" s="1" t="s">
        <v>45</v>
      </c>
      <c r="B134" s="1" t="s">
        <v>84</v>
      </c>
      <c r="C134" s="1">
        <v>8</v>
      </c>
    </row>
    <row r="135" spans="1:3">
      <c r="A135" s="1" t="s">
        <v>45</v>
      </c>
      <c r="B135" s="1" t="s">
        <v>85</v>
      </c>
      <c r="C135" s="1">
        <v>4</v>
      </c>
    </row>
    <row r="136" spans="1:3">
      <c r="A136" s="1" t="s">
        <v>46</v>
      </c>
      <c r="B136" s="1" t="s">
        <v>77</v>
      </c>
      <c r="C136" s="1">
        <v>3</v>
      </c>
    </row>
    <row r="137" spans="1:3">
      <c r="A137" s="1" t="s">
        <v>46</v>
      </c>
      <c r="B137" s="1" t="s">
        <v>78</v>
      </c>
      <c r="C137" s="1">
        <v>4</v>
      </c>
    </row>
    <row r="138" spans="1:3">
      <c r="A138" s="1" t="s">
        <v>46</v>
      </c>
      <c r="B138" s="1" t="s">
        <v>86</v>
      </c>
      <c r="C138" s="1">
        <v>12</v>
      </c>
    </row>
    <row r="139" spans="1:3">
      <c r="A139" s="1" t="s">
        <v>46</v>
      </c>
      <c r="B139" s="1" t="s">
        <v>87</v>
      </c>
      <c r="C139" s="1">
        <v>5</v>
      </c>
    </row>
    <row r="140" spans="1:3">
      <c r="A140" s="1" t="s">
        <v>46</v>
      </c>
      <c r="B140" s="1" t="s">
        <v>88</v>
      </c>
      <c r="C140" s="1">
        <v>7</v>
      </c>
    </row>
    <row r="141" spans="1:3">
      <c r="A141" s="1" t="s">
        <v>46</v>
      </c>
      <c r="B141" s="1" t="s">
        <v>89</v>
      </c>
      <c r="C141" s="1">
        <v>2</v>
      </c>
    </row>
    <row r="142" spans="1:3">
      <c r="A142" s="1" t="s">
        <v>46</v>
      </c>
      <c r="B142" s="1" t="s">
        <v>90</v>
      </c>
      <c r="C142" s="1">
        <v>5</v>
      </c>
    </row>
    <row r="143" spans="1:3">
      <c r="A143" s="1" t="s">
        <v>46</v>
      </c>
      <c r="B143" s="1" t="s">
        <v>91</v>
      </c>
      <c r="C143" s="1">
        <v>3</v>
      </c>
    </row>
    <row r="144" spans="1:3">
      <c r="A144" s="1" t="s">
        <v>46</v>
      </c>
      <c r="B144" s="1" t="s">
        <v>92</v>
      </c>
      <c r="C144" s="1">
        <v>6</v>
      </c>
    </row>
    <row r="145" spans="1:3">
      <c r="A145" s="1" t="s">
        <v>46</v>
      </c>
      <c r="B145" s="1" t="s">
        <v>93</v>
      </c>
      <c r="C145" s="1">
        <v>7</v>
      </c>
    </row>
    <row r="146" spans="1:3">
      <c r="A146" s="1" t="s">
        <v>46</v>
      </c>
      <c r="B146" s="1" t="s">
        <v>94</v>
      </c>
      <c r="C146" s="1">
        <v>8</v>
      </c>
    </row>
    <row r="147" spans="1:3">
      <c r="A147" s="1" t="s">
        <v>46</v>
      </c>
      <c r="B147" s="1" t="s">
        <v>95</v>
      </c>
      <c r="C147" s="1">
        <v>9</v>
      </c>
    </row>
    <row r="148" spans="1:3">
      <c r="A148" s="1" t="s">
        <v>46</v>
      </c>
      <c r="B148" s="1" t="s">
        <v>84</v>
      </c>
      <c r="C148" s="1">
        <v>8</v>
      </c>
    </row>
    <row r="149" spans="1:3">
      <c r="A149" s="1" t="s">
        <v>46</v>
      </c>
      <c r="B149" s="1" t="s">
        <v>85</v>
      </c>
      <c r="C149" s="1">
        <v>4</v>
      </c>
    </row>
    <row r="150" spans="1:3">
      <c r="A150" s="1" t="s">
        <v>47</v>
      </c>
      <c r="B150" s="1" t="s">
        <v>77</v>
      </c>
      <c r="C150" s="1">
        <v>3</v>
      </c>
    </row>
    <row r="151" spans="1:3">
      <c r="A151" s="1" t="s">
        <v>47</v>
      </c>
      <c r="B151" s="1" t="s">
        <v>78</v>
      </c>
      <c r="C151" s="1">
        <v>4</v>
      </c>
    </row>
    <row r="152" spans="1:3">
      <c r="A152" s="1" t="s">
        <v>47</v>
      </c>
      <c r="B152" s="1" t="s">
        <v>86</v>
      </c>
      <c r="C152" s="1">
        <v>12</v>
      </c>
    </row>
    <row r="153" spans="1:3">
      <c r="A153" s="1" t="s">
        <v>47</v>
      </c>
      <c r="B153" s="1" t="s">
        <v>87</v>
      </c>
      <c r="C153" s="1">
        <v>5</v>
      </c>
    </row>
    <row r="154" spans="1:3">
      <c r="A154" s="1" t="s">
        <v>47</v>
      </c>
      <c r="B154" s="1" t="s">
        <v>88</v>
      </c>
      <c r="C154" s="1">
        <v>7</v>
      </c>
    </row>
    <row r="155" spans="1:3">
      <c r="A155" s="1" t="s">
        <v>47</v>
      </c>
      <c r="B155" s="1" t="s">
        <v>89</v>
      </c>
      <c r="C155" s="1">
        <v>2</v>
      </c>
    </row>
    <row r="156" spans="1:3">
      <c r="A156" s="1" t="s">
        <v>47</v>
      </c>
      <c r="B156" s="1" t="s">
        <v>90</v>
      </c>
      <c r="C156" s="1">
        <v>5</v>
      </c>
    </row>
    <row r="157" spans="1:3">
      <c r="A157" s="1" t="s">
        <v>47</v>
      </c>
      <c r="B157" s="1" t="s">
        <v>91</v>
      </c>
      <c r="C157" s="1">
        <v>3</v>
      </c>
    </row>
    <row r="158" spans="1:3">
      <c r="A158" s="1" t="s">
        <v>47</v>
      </c>
      <c r="B158" s="1" t="s">
        <v>92</v>
      </c>
      <c r="C158" s="1">
        <v>6</v>
      </c>
    </row>
    <row r="159" spans="1:3">
      <c r="A159" s="1" t="s">
        <v>47</v>
      </c>
      <c r="B159" s="1" t="s">
        <v>93</v>
      </c>
      <c r="C159" s="1">
        <v>7</v>
      </c>
    </row>
    <row r="160" spans="1:3">
      <c r="A160" s="1" t="s">
        <v>47</v>
      </c>
      <c r="B160" s="1" t="s">
        <v>94</v>
      </c>
      <c r="C160" s="1">
        <v>8</v>
      </c>
    </row>
    <row r="161" spans="1:3">
      <c r="A161" s="1" t="s">
        <v>47</v>
      </c>
      <c r="B161" s="1" t="s">
        <v>95</v>
      </c>
      <c r="C161" s="1">
        <v>9</v>
      </c>
    </row>
    <row r="162" spans="1:3">
      <c r="A162" s="1" t="s">
        <v>47</v>
      </c>
      <c r="B162" s="1" t="s">
        <v>84</v>
      </c>
      <c r="C162" s="1">
        <v>8</v>
      </c>
    </row>
    <row r="163" spans="1:3">
      <c r="A163" s="1" t="s">
        <v>47</v>
      </c>
      <c r="B163" s="1" t="s">
        <v>85</v>
      </c>
      <c r="C163" s="1">
        <v>4</v>
      </c>
    </row>
    <row r="164" spans="1:3">
      <c r="A164" s="1" t="s">
        <v>48</v>
      </c>
      <c r="B164" s="1" t="s">
        <v>77</v>
      </c>
      <c r="C164" s="1">
        <v>3</v>
      </c>
    </row>
    <row r="165" spans="1:3">
      <c r="A165" s="1" t="s">
        <v>48</v>
      </c>
      <c r="B165" s="1" t="s">
        <v>78</v>
      </c>
      <c r="C165" s="1">
        <v>4</v>
      </c>
    </row>
    <row r="166" spans="1:3">
      <c r="A166" s="1" t="s">
        <v>48</v>
      </c>
      <c r="B166" s="1" t="s">
        <v>86</v>
      </c>
      <c r="C166" s="1">
        <v>12</v>
      </c>
    </row>
    <row r="167" spans="1:3">
      <c r="A167" s="1" t="s">
        <v>48</v>
      </c>
      <c r="B167" s="1" t="s">
        <v>87</v>
      </c>
      <c r="C167" s="1">
        <v>5</v>
      </c>
    </row>
    <row r="168" spans="1:3">
      <c r="A168" s="1" t="s">
        <v>48</v>
      </c>
      <c r="B168" s="1" t="s">
        <v>88</v>
      </c>
      <c r="C168" s="1">
        <v>7</v>
      </c>
    </row>
    <row r="169" spans="1:3">
      <c r="A169" s="1" t="s">
        <v>48</v>
      </c>
      <c r="B169" s="1" t="s">
        <v>89</v>
      </c>
      <c r="C169" s="1">
        <v>2</v>
      </c>
    </row>
    <row r="170" spans="1:3">
      <c r="A170" s="1" t="s">
        <v>48</v>
      </c>
      <c r="B170" s="1" t="s">
        <v>90</v>
      </c>
      <c r="C170" s="1">
        <v>5</v>
      </c>
    </row>
    <row r="171" spans="1:3">
      <c r="A171" s="1" t="s">
        <v>48</v>
      </c>
      <c r="B171" s="1" t="s">
        <v>91</v>
      </c>
      <c r="C171" s="1">
        <v>3</v>
      </c>
    </row>
    <row r="172" spans="1:3">
      <c r="A172" s="1" t="s">
        <v>48</v>
      </c>
      <c r="B172" s="1" t="s">
        <v>92</v>
      </c>
      <c r="C172" s="1">
        <v>6</v>
      </c>
    </row>
    <row r="173" spans="1:3">
      <c r="A173" s="1" t="s">
        <v>48</v>
      </c>
      <c r="B173" s="1" t="s">
        <v>93</v>
      </c>
      <c r="C173" s="1">
        <v>7</v>
      </c>
    </row>
    <row r="174" spans="1:3">
      <c r="A174" s="1" t="s">
        <v>48</v>
      </c>
      <c r="B174" s="1" t="s">
        <v>94</v>
      </c>
      <c r="C174" s="1">
        <v>8</v>
      </c>
    </row>
    <row r="175" spans="1:3">
      <c r="A175" s="1" t="s">
        <v>48</v>
      </c>
      <c r="B175" s="1" t="s">
        <v>95</v>
      </c>
      <c r="C175" s="1">
        <v>9</v>
      </c>
    </row>
    <row r="176" spans="1:3">
      <c r="A176" s="1" t="s">
        <v>48</v>
      </c>
      <c r="B176" s="1" t="s">
        <v>84</v>
      </c>
      <c r="C176" s="1">
        <v>8</v>
      </c>
    </row>
    <row r="177" spans="1:3">
      <c r="A177" s="1" t="s">
        <v>48</v>
      </c>
      <c r="B177" s="1" t="s">
        <v>85</v>
      </c>
      <c r="C177" s="1">
        <v>4</v>
      </c>
    </row>
    <row r="178" spans="1:3">
      <c r="A178" s="1" t="s">
        <v>49</v>
      </c>
      <c r="B178" s="1" t="s">
        <v>77</v>
      </c>
      <c r="C178" s="1">
        <v>3</v>
      </c>
    </row>
    <row r="179" spans="1:3">
      <c r="A179" s="1" t="s">
        <v>49</v>
      </c>
      <c r="B179" s="1" t="s">
        <v>78</v>
      </c>
      <c r="C179" s="1">
        <v>4</v>
      </c>
    </row>
    <row r="180" spans="1:3">
      <c r="A180" s="1" t="s">
        <v>49</v>
      </c>
      <c r="B180" s="1" t="s">
        <v>86</v>
      </c>
      <c r="C180" s="1">
        <v>12</v>
      </c>
    </row>
    <row r="181" spans="1:3">
      <c r="A181" s="1" t="s">
        <v>49</v>
      </c>
      <c r="B181" s="1" t="s">
        <v>87</v>
      </c>
      <c r="C181" s="1">
        <v>5</v>
      </c>
    </row>
    <row r="182" spans="1:3">
      <c r="A182" s="1" t="s">
        <v>49</v>
      </c>
      <c r="B182" s="1" t="s">
        <v>88</v>
      </c>
      <c r="C182" s="1">
        <v>7</v>
      </c>
    </row>
    <row r="183" spans="1:3">
      <c r="A183" s="1" t="s">
        <v>49</v>
      </c>
      <c r="B183" s="1" t="s">
        <v>89</v>
      </c>
      <c r="C183" s="1">
        <v>2</v>
      </c>
    </row>
    <row r="184" spans="1:3">
      <c r="A184" s="1" t="s">
        <v>49</v>
      </c>
      <c r="B184" s="1" t="s">
        <v>90</v>
      </c>
      <c r="C184" s="1">
        <v>5</v>
      </c>
    </row>
    <row r="185" spans="1:3">
      <c r="A185" s="1" t="s">
        <v>49</v>
      </c>
      <c r="B185" s="1" t="s">
        <v>91</v>
      </c>
      <c r="C185" s="1">
        <v>3</v>
      </c>
    </row>
    <row r="186" spans="1:3">
      <c r="A186" s="1" t="s">
        <v>49</v>
      </c>
      <c r="B186" s="1" t="s">
        <v>92</v>
      </c>
      <c r="C186" s="1">
        <v>6</v>
      </c>
    </row>
    <row r="187" spans="1:3">
      <c r="A187" s="1" t="s">
        <v>49</v>
      </c>
      <c r="B187" s="1" t="s">
        <v>93</v>
      </c>
      <c r="C187" s="1">
        <v>7</v>
      </c>
    </row>
    <row r="188" spans="1:3">
      <c r="A188" s="1" t="s">
        <v>49</v>
      </c>
      <c r="B188" s="1" t="s">
        <v>94</v>
      </c>
      <c r="C188" s="1">
        <v>8</v>
      </c>
    </row>
    <row r="189" spans="1:3">
      <c r="A189" s="1" t="s">
        <v>49</v>
      </c>
      <c r="B189" s="1" t="s">
        <v>95</v>
      </c>
      <c r="C189" s="1">
        <v>9</v>
      </c>
    </row>
    <row r="190" spans="1:3">
      <c r="A190" s="1" t="s">
        <v>49</v>
      </c>
      <c r="B190" s="1" t="s">
        <v>84</v>
      </c>
      <c r="C190" s="1">
        <v>8</v>
      </c>
    </row>
    <row r="191" spans="1:3">
      <c r="A191" s="1" t="s">
        <v>49</v>
      </c>
      <c r="B191" s="1" t="s">
        <v>85</v>
      </c>
      <c r="C191" s="1">
        <v>4</v>
      </c>
    </row>
    <row r="192" spans="1:3">
      <c r="A192" s="1" t="s">
        <v>50</v>
      </c>
      <c r="B192" s="1" t="s">
        <v>77</v>
      </c>
      <c r="C192" s="1">
        <v>3</v>
      </c>
    </row>
    <row r="193" spans="1:3">
      <c r="A193" s="1" t="s">
        <v>50</v>
      </c>
      <c r="B193" s="1" t="s">
        <v>78</v>
      </c>
      <c r="C193" s="1">
        <v>4</v>
      </c>
    </row>
    <row r="194" spans="1:3">
      <c r="A194" s="1" t="s">
        <v>50</v>
      </c>
      <c r="B194" s="1" t="s">
        <v>86</v>
      </c>
      <c r="C194" s="1">
        <v>12</v>
      </c>
    </row>
    <row r="195" spans="1:3">
      <c r="A195" s="1" t="s">
        <v>50</v>
      </c>
      <c r="B195" s="1" t="s">
        <v>87</v>
      </c>
      <c r="C195" s="1">
        <v>5</v>
      </c>
    </row>
    <row r="196" spans="1:3">
      <c r="A196" s="1" t="s">
        <v>50</v>
      </c>
      <c r="B196" s="1" t="s">
        <v>88</v>
      </c>
      <c r="C196" s="1">
        <v>7</v>
      </c>
    </row>
    <row r="197" spans="1:3">
      <c r="A197" s="1" t="s">
        <v>50</v>
      </c>
      <c r="B197" s="1" t="s">
        <v>89</v>
      </c>
      <c r="C197" s="1">
        <v>2</v>
      </c>
    </row>
    <row r="198" spans="1:3">
      <c r="A198" s="1" t="s">
        <v>50</v>
      </c>
      <c r="B198" s="1" t="s">
        <v>90</v>
      </c>
      <c r="C198" s="1">
        <v>5</v>
      </c>
    </row>
    <row r="199" spans="1:3">
      <c r="A199" s="1" t="s">
        <v>50</v>
      </c>
      <c r="B199" s="1" t="s">
        <v>91</v>
      </c>
      <c r="C199" s="1">
        <v>3</v>
      </c>
    </row>
    <row r="200" spans="1:3">
      <c r="A200" s="1" t="s">
        <v>50</v>
      </c>
      <c r="B200" s="1" t="s">
        <v>92</v>
      </c>
      <c r="C200" s="1">
        <v>6</v>
      </c>
    </row>
    <row r="201" spans="1:3">
      <c r="A201" s="1" t="s">
        <v>50</v>
      </c>
      <c r="B201" s="1" t="s">
        <v>93</v>
      </c>
      <c r="C201" s="1">
        <v>7</v>
      </c>
    </row>
    <row r="202" spans="1:3">
      <c r="A202" s="1" t="s">
        <v>50</v>
      </c>
      <c r="B202" s="1" t="s">
        <v>94</v>
      </c>
      <c r="C202" s="1">
        <v>8</v>
      </c>
    </row>
    <row r="203" spans="1:3">
      <c r="A203" s="1" t="s">
        <v>50</v>
      </c>
      <c r="B203" s="1" t="s">
        <v>95</v>
      </c>
      <c r="C203" s="1">
        <v>9</v>
      </c>
    </row>
    <row r="204" spans="1:3">
      <c r="A204" s="1" t="s">
        <v>50</v>
      </c>
      <c r="B204" s="1" t="s">
        <v>84</v>
      </c>
      <c r="C204" s="1">
        <v>8</v>
      </c>
    </row>
    <row r="205" spans="1:3">
      <c r="A205" s="1" t="s">
        <v>50</v>
      </c>
      <c r="B205" s="1" t="s">
        <v>85</v>
      </c>
      <c r="C205" s="1">
        <v>4</v>
      </c>
    </row>
    <row r="206" spans="1:3">
      <c r="A206" s="1" t="s">
        <v>51</v>
      </c>
      <c r="B206" s="1" t="s">
        <v>77</v>
      </c>
      <c r="C206" s="1">
        <v>3</v>
      </c>
    </row>
    <row r="207" spans="1:3">
      <c r="A207" s="1" t="s">
        <v>51</v>
      </c>
      <c r="B207" s="1" t="s">
        <v>78</v>
      </c>
      <c r="C207" s="1">
        <v>4</v>
      </c>
    </row>
    <row r="208" spans="1:3">
      <c r="A208" s="1" t="s">
        <v>51</v>
      </c>
      <c r="B208" s="1" t="s">
        <v>86</v>
      </c>
      <c r="C208" s="1">
        <v>12</v>
      </c>
    </row>
    <row r="209" spans="1:3">
      <c r="A209" s="1" t="s">
        <v>51</v>
      </c>
      <c r="B209" s="1" t="s">
        <v>87</v>
      </c>
      <c r="C209" s="1">
        <v>5</v>
      </c>
    </row>
    <row r="210" spans="1:3">
      <c r="A210" s="1" t="s">
        <v>51</v>
      </c>
      <c r="B210" s="1" t="s">
        <v>88</v>
      </c>
      <c r="C210" s="1">
        <v>7</v>
      </c>
    </row>
    <row r="211" spans="1:3">
      <c r="A211" s="1" t="s">
        <v>51</v>
      </c>
      <c r="B211" s="1" t="s">
        <v>89</v>
      </c>
      <c r="C211" s="1">
        <v>2</v>
      </c>
    </row>
    <row r="212" spans="1:3">
      <c r="A212" s="1" t="s">
        <v>51</v>
      </c>
      <c r="B212" s="1" t="s">
        <v>90</v>
      </c>
      <c r="C212" s="1">
        <v>5</v>
      </c>
    </row>
    <row r="213" spans="1:3">
      <c r="A213" s="1" t="s">
        <v>51</v>
      </c>
      <c r="B213" s="1" t="s">
        <v>91</v>
      </c>
      <c r="C213" s="1">
        <v>3</v>
      </c>
    </row>
    <row r="214" spans="1:3">
      <c r="A214" s="1" t="s">
        <v>51</v>
      </c>
      <c r="B214" s="1" t="s">
        <v>92</v>
      </c>
      <c r="C214" s="1">
        <v>6</v>
      </c>
    </row>
    <row r="215" spans="1:3">
      <c r="A215" s="1" t="s">
        <v>51</v>
      </c>
      <c r="B215" s="1" t="s">
        <v>93</v>
      </c>
      <c r="C215" s="1">
        <v>7</v>
      </c>
    </row>
    <row r="216" spans="1:3">
      <c r="A216" s="1" t="s">
        <v>51</v>
      </c>
      <c r="B216" s="1" t="s">
        <v>94</v>
      </c>
      <c r="C216" s="1">
        <v>8</v>
      </c>
    </row>
    <row r="217" spans="1:3">
      <c r="A217" s="1" t="s">
        <v>51</v>
      </c>
      <c r="B217" s="1" t="s">
        <v>95</v>
      </c>
      <c r="C217" s="1">
        <v>9</v>
      </c>
    </row>
    <row r="218" spans="1:3">
      <c r="A218" s="1" t="s">
        <v>51</v>
      </c>
      <c r="B218" s="1" t="s">
        <v>84</v>
      </c>
      <c r="C218" s="1">
        <v>8</v>
      </c>
    </row>
    <row r="219" spans="1:3">
      <c r="A219" s="1" t="s">
        <v>51</v>
      </c>
      <c r="B219" s="1" t="s">
        <v>85</v>
      </c>
      <c r="C219" s="1">
        <v>4</v>
      </c>
    </row>
    <row r="220" spans="1:3">
      <c r="A220" s="1" t="s">
        <v>52</v>
      </c>
      <c r="B220" s="1" t="s">
        <v>77</v>
      </c>
      <c r="C220" s="1">
        <v>3</v>
      </c>
    </row>
    <row r="221" spans="1:3">
      <c r="A221" s="1" t="s">
        <v>52</v>
      </c>
      <c r="B221" s="1" t="s">
        <v>78</v>
      </c>
      <c r="C221" s="1">
        <v>4</v>
      </c>
    </row>
    <row r="222" spans="1:3">
      <c r="A222" s="1" t="s">
        <v>52</v>
      </c>
      <c r="B222" s="1" t="s">
        <v>86</v>
      </c>
      <c r="C222" s="1">
        <v>12</v>
      </c>
    </row>
    <row r="223" spans="1:3">
      <c r="A223" s="1" t="s">
        <v>52</v>
      </c>
      <c r="B223" s="1" t="s">
        <v>87</v>
      </c>
      <c r="C223" s="1">
        <v>5</v>
      </c>
    </row>
    <row r="224" spans="1:3">
      <c r="A224" s="1" t="s">
        <v>52</v>
      </c>
      <c r="B224" s="1" t="s">
        <v>88</v>
      </c>
      <c r="C224" s="1">
        <v>7</v>
      </c>
    </row>
    <row r="225" spans="1:3">
      <c r="A225" s="1" t="s">
        <v>52</v>
      </c>
      <c r="B225" s="1" t="s">
        <v>89</v>
      </c>
      <c r="C225" s="1">
        <v>2</v>
      </c>
    </row>
    <row r="226" spans="1:3">
      <c r="A226" s="1" t="s">
        <v>52</v>
      </c>
      <c r="B226" s="1" t="s">
        <v>90</v>
      </c>
      <c r="C226" s="1">
        <v>5</v>
      </c>
    </row>
    <row r="227" spans="1:3">
      <c r="A227" s="1" t="s">
        <v>52</v>
      </c>
      <c r="B227" s="1" t="s">
        <v>91</v>
      </c>
      <c r="C227" s="1">
        <v>3</v>
      </c>
    </row>
    <row r="228" spans="1:3">
      <c r="A228" s="1" t="s">
        <v>52</v>
      </c>
      <c r="B228" s="1" t="s">
        <v>92</v>
      </c>
      <c r="C228" s="1">
        <v>6</v>
      </c>
    </row>
    <row r="229" spans="1:3">
      <c r="A229" s="1" t="s">
        <v>52</v>
      </c>
      <c r="B229" s="1" t="s">
        <v>93</v>
      </c>
      <c r="C229" s="1">
        <v>7</v>
      </c>
    </row>
    <row r="230" spans="1:3">
      <c r="A230" s="1" t="s">
        <v>52</v>
      </c>
      <c r="B230" s="1" t="s">
        <v>94</v>
      </c>
      <c r="C230" s="1">
        <v>8</v>
      </c>
    </row>
    <row r="231" spans="1:3">
      <c r="A231" s="1" t="s">
        <v>52</v>
      </c>
      <c r="B231" s="1" t="s">
        <v>95</v>
      </c>
      <c r="C231" s="1">
        <v>9</v>
      </c>
    </row>
    <row r="232" spans="1:3">
      <c r="A232" s="1" t="s">
        <v>52</v>
      </c>
      <c r="B232" s="1" t="s">
        <v>84</v>
      </c>
      <c r="C232" s="1">
        <v>8</v>
      </c>
    </row>
    <row r="233" spans="1:3">
      <c r="A233" s="1" t="s">
        <v>52</v>
      </c>
      <c r="B233" s="1" t="s">
        <v>85</v>
      </c>
      <c r="C233" s="1">
        <v>4</v>
      </c>
    </row>
    <row r="234" spans="1:3">
      <c r="A234" s="1" t="s">
        <v>53</v>
      </c>
      <c r="B234" s="1" t="s">
        <v>77</v>
      </c>
      <c r="C234" s="1">
        <v>3</v>
      </c>
    </row>
    <row r="235" spans="1:3">
      <c r="A235" s="1" t="s">
        <v>53</v>
      </c>
      <c r="B235" s="1" t="s">
        <v>78</v>
      </c>
      <c r="C235" s="1">
        <v>4</v>
      </c>
    </row>
    <row r="236" spans="1:3">
      <c r="A236" s="1" t="s">
        <v>53</v>
      </c>
      <c r="B236" s="1" t="s">
        <v>86</v>
      </c>
      <c r="C236" s="1">
        <v>12</v>
      </c>
    </row>
    <row r="237" spans="1:3">
      <c r="A237" s="1" t="s">
        <v>53</v>
      </c>
      <c r="B237" s="1" t="s">
        <v>87</v>
      </c>
      <c r="C237" s="1">
        <v>5</v>
      </c>
    </row>
    <row r="238" spans="1:3">
      <c r="A238" s="1" t="s">
        <v>53</v>
      </c>
      <c r="B238" s="1" t="s">
        <v>88</v>
      </c>
      <c r="C238" s="1">
        <v>7</v>
      </c>
    </row>
    <row r="239" spans="1:3">
      <c r="A239" s="1" t="s">
        <v>53</v>
      </c>
      <c r="B239" s="1" t="s">
        <v>89</v>
      </c>
      <c r="C239" s="1">
        <v>2</v>
      </c>
    </row>
    <row r="240" spans="1:3">
      <c r="A240" s="1" t="s">
        <v>53</v>
      </c>
      <c r="B240" s="1" t="s">
        <v>90</v>
      </c>
      <c r="C240" s="1">
        <v>5</v>
      </c>
    </row>
    <row r="241" spans="1:3">
      <c r="A241" s="1" t="s">
        <v>53</v>
      </c>
      <c r="B241" s="1" t="s">
        <v>91</v>
      </c>
      <c r="C241" s="1">
        <v>3</v>
      </c>
    </row>
    <row r="242" spans="1:3">
      <c r="A242" s="1" t="s">
        <v>53</v>
      </c>
      <c r="B242" s="1" t="s">
        <v>92</v>
      </c>
      <c r="C242" s="1">
        <v>6</v>
      </c>
    </row>
    <row r="243" spans="1:3">
      <c r="A243" s="1" t="s">
        <v>53</v>
      </c>
      <c r="B243" s="1" t="s">
        <v>93</v>
      </c>
      <c r="C243" s="1">
        <v>7</v>
      </c>
    </row>
    <row r="244" spans="1:3">
      <c r="A244" s="1" t="s">
        <v>53</v>
      </c>
      <c r="B244" s="1" t="s">
        <v>94</v>
      </c>
      <c r="C244" s="1">
        <v>8</v>
      </c>
    </row>
    <row r="245" spans="1:3">
      <c r="A245" s="1" t="s">
        <v>53</v>
      </c>
      <c r="B245" s="1" t="s">
        <v>95</v>
      </c>
      <c r="C245" s="1">
        <v>9</v>
      </c>
    </row>
    <row r="246" spans="1:3">
      <c r="A246" s="1" t="s">
        <v>53</v>
      </c>
      <c r="B246" s="1" t="s">
        <v>84</v>
      </c>
      <c r="C246" s="1">
        <v>8</v>
      </c>
    </row>
    <row r="247" spans="1:3">
      <c r="A247" s="1" t="s">
        <v>53</v>
      </c>
      <c r="B247" s="1" t="s">
        <v>85</v>
      </c>
      <c r="C247" s="1">
        <v>4</v>
      </c>
    </row>
    <row r="248" spans="1:3">
      <c r="A248" s="1" t="s">
        <v>54</v>
      </c>
      <c r="B248" s="1" t="s">
        <v>77</v>
      </c>
      <c r="C248" s="1">
        <v>3</v>
      </c>
    </row>
    <row r="249" spans="1:3">
      <c r="A249" s="1" t="s">
        <v>54</v>
      </c>
      <c r="B249" s="1" t="s">
        <v>78</v>
      </c>
      <c r="C249" s="1">
        <v>4</v>
      </c>
    </row>
    <row r="250" spans="1:3">
      <c r="A250" s="1" t="s">
        <v>54</v>
      </c>
      <c r="B250" s="1" t="s">
        <v>86</v>
      </c>
      <c r="C250" s="1">
        <v>12</v>
      </c>
    </row>
    <row r="251" spans="1:3">
      <c r="A251" s="1" t="s">
        <v>54</v>
      </c>
      <c r="B251" s="1" t="s">
        <v>87</v>
      </c>
      <c r="C251" s="1">
        <v>5</v>
      </c>
    </row>
    <row r="252" spans="1:3">
      <c r="A252" s="1" t="s">
        <v>54</v>
      </c>
      <c r="B252" s="1" t="s">
        <v>88</v>
      </c>
      <c r="C252" s="1">
        <v>7</v>
      </c>
    </row>
    <row r="253" spans="1:3">
      <c r="A253" s="1" t="s">
        <v>54</v>
      </c>
      <c r="B253" s="1" t="s">
        <v>89</v>
      </c>
      <c r="C253" s="1">
        <v>2</v>
      </c>
    </row>
    <row r="254" spans="1:3">
      <c r="A254" s="1" t="s">
        <v>54</v>
      </c>
      <c r="B254" s="1" t="s">
        <v>90</v>
      </c>
      <c r="C254" s="1">
        <v>5</v>
      </c>
    </row>
    <row r="255" spans="1:3">
      <c r="A255" s="1" t="s">
        <v>54</v>
      </c>
      <c r="B255" s="1" t="s">
        <v>91</v>
      </c>
      <c r="C255" s="1">
        <v>3</v>
      </c>
    </row>
    <row r="256" spans="1:3">
      <c r="A256" s="1" t="s">
        <v>54</v>
      </c>
      <c r="B256" s="1" t="s">
        <v>92</v>
      </c>
      <c r="C256" s="1">
        <v>6</v>
      </c>
    </row>
    <row r="257" spans="1:3">
      <c r="A257" s="1" t="s">
        <v>54</v>
      </c>
      <c r="B257" s="1" t="s">
        <v>93</v>
      </c>
      <c r="C257" s="1">
        <v>7</v>
      </c>
    </row>
    <row r="258" spans="1:3">
      <c r="A258" s="1" t="s">
        <v>54</v>
      </c>
      <c r="B258" s="1" t="s">
        <v>94</v>
      </c>
      <c r="C258" s="1">
        <v>8</v>
      </c>
    </row>
    <row r="259" spans="1:3">
      <c r="A259" s="1" t="s">
        <v>54</v>
      </c>
      <c r="B259" s="1" t="s">
        <v>95</v>
      </c>
      <c r="C259" s="1">
        <v>9</v>
      </c>
    </row>
    <row r="260" spans="1:3">
      <c r="A260" s="1" t="s">
        <v>54</v>
      </c>
      <c r="B260" s="1" t="s">
        <v>84</v>
      </c>
      <c r="C260" s="1">
        <v>8</v>
      </c>
    </row>
    <row r="261" spans="1:3">
      <c r="A261" s="1" t="s">
        <v>54</v>
      </c>
      <c r="B261" s="1" t="s">
        <v>85</v>
      </c>
      <c r="C261" s="1">
        <v>4</v>
      </c>
    </row>
    <row r="262" spans="1:3">
      <c r="A262" s="1" t="s">
        <v>55</v>
      </c>
      <c r="B262" s="1" t="s">
        <v>77</v>
      </c>
      <c r="C262" s="1">
        <v>3</v>
      </c>
    </row>
    <row r="263" spans="1:3">
      <c r="A263" s="1" t="s">
        <v>55</v>
      </c>
      <c r="B263" s="1" t="s">
        <v>78</v>
      </c>
      <c r="C263" s="1">
        <v>4</v>
      </c>
    </row>
    <row r="264" spans="1:3">
      <c r="A264" s="1" t="s">
        <v>55</v>
      </c>
      <c r="B264" s="1" t="s">
        <v>86</v>
      </c>
      <c r="C264" s="1">
        <v>12</v>
      </c>
    </row>
    <row r="265" spans="1:3">
      <c r="A265" s="1" t="s">
        <v>55</v>
      </c>
      <c r="B265" s="1" t="s">
        <v>87</v>
      </c>
      <c r="C265" s="1">
        <v>5</v>
      </c>
    </row>
    <row r="266" spans="1:3">
      <c r="A266" s="1" t="s">
        <v>55</v>
      </c>
      <c r="B266" s="1" t="s">
        <v>88</v>
      </c>
      <c r="C266" s="1">
        <v>7</v>
      </c>
    </row>
    <row r="267" spans="1:3">
      <c r="A267" s="1" t="s">
        <v>55</v>
      </c>
      <c r="B267" s="1" t="s">
        <v>89</v>
      </c>
      <c r="C267" s="1">
        <v>2</v>
      </c>
    </row>
    <row r="268" spans="1:3">
      <c r="A268" s="1" t="s">
        <v>55</v>
      </c>
      <c r="B268" s="1" t="s">
        <v>90</v>
      </c>
      <c r="C268" s="1">
        <v>5</v>
      </c>
    </row>
    <row r="269" spans="1:3">
      <c r="A269" s="1" t="s">
        <v>55</v>
      </c>
      <c r="B269" s="1" t="s">
        <v>91</v>
      </c>
      <c r="C269" s="1">
        <v>3</v>
      </c>
    </row>
    <row r="270" spans="1:3">
      <c r="A270" s="1" t="s">
        <v>55</v>
      </c>
      <c r="B270" s="1" t="s">
        <v>92</v>
      </c>
      <c r="C270" s="1">
        <v>6</v>
      </c>
    </row>
    <row r="271" spans="1:3">
      <c r="A271" s="1" t="s">
        <v>55</v>
      </c>
      <c r="B271" s="1" t="s">
        <v>93</v>
      </c>
      <c r="C271" s="1">
        <v>7</v>
      </c>
    </row>
    <row r="272" spans="1:3">
      <c r="A272" s="1" t="s">
        <v>55</v>
      </c>
      <c r="B272" s="1" t="s">
        <v>94</v>
      </c>
      <c r="C272" s="1">
        <v>8</v>
      </c>
    </row>
    <row r="273" spans="1:3">
      <c r="A273" s="1" t="s">
        <v>55</v>
      </c>
      <c r="B273" s="1" t="s">
        <v>95</v>
      </c>
      <c r="C273" s="1">
        <v>9</v>
      </c>
    </row>
    <row r="274" spans="1:3">
      <c r="A274" s="1" t="s">
        <v>55</v>
      </c>
      <c r="B274" s="1" t="s">
        <v>84</v>
      </c>
      <c r="C274" s="1">
        <v>8</v>
      </c>
    </row>
    <row r="275" spans="1:3">
      <c r="A275" s="1" t="s">
        <v>55</v>
      </c>
      <c r="B275" s="1" t="s">
        <v>85</v>
      </c>
      <c r="C275" s="1">
        <v>4</v>
      </c>
    </row>
    <row r="276" spans="1:3">
      <c r="A276" s="1" t="s">
        <v>56</v>
      </c>
      <c r="B276" s="1" t="s">
        <v>77</v>
      </c>
      <c r="C276" s="1">
        <v>3</v>
      </c>
    </row>
    <row r="277" spans="1:3">
      <c r="A277" s="1" t="s">
        <v>56</v>
      </c>
      <c r="B277" s="1" t="s">
        <v>78</v>
      </c>
      <c r="C277" s="1">
        <v>4</v>
      </c>
    </row>
    <row r="278" spans="1:3">
      <c r="A278" s="1" t="s">
        <v>56</v>
      </c>
      <c r="B278" s="1" t="s">
        <v>86</v>
      </c>
      <c r="C278" s="1">
        <v>12</v>
      </c>
    </row>
    <row r="279" spans="1:3">
      <c r="A279" s="1" t="s">
        <v>56</v>
      </c>
      <c r="B279" s="1" t="s">
        <v>87</v>
      </c>
      <c r="C279" s="1">
        <v>5</v>
      </c>
    </row>
    <row r="280" spans="1:3">
      <c r="A280" s="1" t="s">
        <v>56</v>
      </c>
      <c r="B280" s="1" t="s">
        <v>88</v>
      </c>
      <c r="C280" s="1">
        <v>7</v>
      </c>
    </row>
    <row r="281" spans="1:3">
      <c r="A281" s="1" t="s">
        <v>56</v>
      </c>
      <c r="B281" s="1" t="s">
        <v>89</v>
      </c>
      <c r="C281" s="1">
        <v>2</v>
      </c>
    </row>
    <row r="282" spans="1:3">
      <c r="A282" s="1" t="s">
        <v>56</v>
      </c>
      <c r="B282" s="1" t="s">
        <v>90</v>
      </c>
      <c r="C282" s="1">
        <v>5</v>
      </c>
    </row>
    <row r="283" spans="1:3">
      <c r="A283" s="1" t="s">
        <v>56</v>
      </c>
      <c r="B283" s="1" t="s">
        <v>91</v>
      </c>
      <c r="C283" s="1">
        <v>3</v>
      </c>
    </row>
    <row r="284" spans="1:3">
      <c r="A284" s="1" t="s">
        <v>56</v>
      </c>
      <c r="B284" s="1" t="s">
        <v>92</v>
      </c>
      <c r="C284" s="1">
        <v>6</v>
      </c>
    </row>
    <row r="285" spans="1:3">
      <c r="A285" s="1" t="s">
        <v>56</v>
      </c>
      <c r="B285" s="1" t="s">
        <v>93</v>
      </c>
      <c r="C285" s="1">
        <v>7</v>
      </c>
    </row>
    <row r="286" spans="1:3">
      <c r="A286" s="1" t="s">
        <v>56</v>
      </c>
      <c r="B286" s="1" t="s">
        <v>94</v>
      </c>
      <c r="C286" s="1">
        <v>8</v>
      </c>
    </row>
    <row r="287" spans="1:3">
      <c r="A287" s="1" t="s">
        <v>56</v>
      </c>
      <c r="B287" s="1" t="s">
        <v>95</v>
      </c>
      <c r="C287" s="1">
        <v>9</v>
      </c>
    </row>
    <row r="288" spans="1:3">
      <c r="A288" s="1" t="s">
        <v>56</v>
      </c>
      <c r="B288" s="1" t="s">
        <v>84</v>
      </c>
      <c r="C288" s="1">
        <v>8</v>
      </c>
    </row>
    <row r="289" spans="1:3">
      <c r="A289" s="1" t="s">
        <v>56</v>
      </c>
      <c r="B289" s="1" t="s">
        <v>85</v>
      </c>
      <c r="C289" s="1">
        <v>4</v>
      </c>
    </row>
    <row r="290" spans="1:3">
      <c r="A290" s="1" t="s">
        <v>57</v>
      </c>
      <c r="B290" s="1" t="s">
        <v>77</v>
      </c>
      <c r="C290" s="1">
        <v>3</v>
      </c>
    </row>
    <row r="291" spans="1:3">
      <c r="A291" s="1" t="s">
        <v>57</v>
      </c>
      <c r="B291" s="1" t="s">
        <v>78</v>
      </c>
      <c r="C291" s="1">
        <v>4</v>
      </c>
    </row>
    <row r="292" spans="1:3">
      <c r="A292" s="1" t="s">
        <v>57</v>
      </c>
      <c r="B292" s="1" t="s">
        <v>86</v>
      </c>
      <c r="C292" s="1">
        <v>12</v>
      </c>
    </row>
    <row r="293" spans="1:3">
      <c r="A293" s="1" t="s">
        <v>57</v>
      </c>
      <c r="B293" s="1" t="s">
        <v>87</v>
      </c>
      <c r="C293" s="1">
        <v>5</v>
      </c>
    </row>
    <row r="294" spans="1:3">
      <c r="A294" s="1" t="s">
        <v>57</v>
      </c>
      <c r="B294" s="1" t="s">
        <v>88</v>
      </c>
      <c r="C294" s="1">
        <v>7</v>
      </c>
    </row>
    <row r="295" spans="1:3">
      <c r="A295" s="1" t="s">
        <v>57</v>
      </c>
      <c r="B295" s="1" t="s">
        <v>89</v>
      </c>
      <c r="C295" s="1">
        <v>2</v>
      </c>
    </row>
    <row r="296" spans="1:3">
      <c r="A296" s="1" t="s">
        <v>57</v>
      </c>
      <c r="B296" s="1" t="s">
        <v>90</v>
      </c>
      <c r="C296" s="1">
        <v>5</v>
      </c>
    </row>
    <row r="297" spans="1:3">
      <c r="A297" s="1" t="s">
        <v>57</v>
      </c>
      <c r="B297" s="1" t="s">
        <v>91</v>
      </c>
      <c r="C297" s="1">
        <v>3</v>
      </c>
    </row>
    <row r="298" spans="1:3">
      <c r="A298" s="1" t="s">
        <v>57</v>
      </c>
      <c r="B298" s="1" t="s">
        <v>92</v>
      </c>
      <c r="C298" s="1">
        <v>6</v>
      </c>
    </row>
    <row r="299" spans="1:3">
      <c r="A299" s="1" t="s">
        <v>57</v>
      </c>
      <c r="B299" s="1" t="s">
        <v>93</v>
      </c>
      <c r="C299" s="1">
        <v>7</v>
      </c>
    </row>
    <row r="300" spans="1:3">
      <c r="A300" s="1" t="s">
        <v>57</v>
      </c>
      <c r="B300" s="1" t="s">
        <v>94</v>
      </c>
      <c r="C300" s="1">
        <v>8</v>
      </c>
    </row>
    <row r="301" spans="1:3">
      <c r="A301" s="1" t="s">
        <v>57</v>
      </c>
      <c r="B301" s="1" t="s">
        <v>95</v>
      </c>
      <c r="C301" s="1">
        <v>9</v>
      </c>
    </row>
    <row r="302" spans="1:3">
      <c r="A302" s="1" t="s">
        <v>57</v>
      </c>
      <c r="B302" s="1" t="s">
        <v>84</v>
      </c>
      <c r="C302" s="1">
        <v>8</v>
      </c>
    </row>
    <row r="303" spans="1:3">
      <c r="A303" s="1" t="s">
        <v>57</v>
      </c>
      <c r="B303" s="1" t="s">
        <v>85</v>
      </c>
      <c r="C303" s="1">
        <v>4</v>
      </c>
    </row>
    <row r="304" spans="1:3">
      <c r="A304" s="1" t="s">
        <v>58</v>
      </c>
      <c r="B304" s="1" t="s">
        <v>77</v>
      </c>
      <c r="C304" s="1">
        <v>3</v>
      </c>
    </row>
    <row r="305" spans="1:3">
      <c r="A305" s="1" t="s">
        <v>58</v>
      </c>
      <c r="B305" s="1" t="s">
        <v>78</v>
      </c>
      <c r="C305" s="1">
        <v>4</v>
      </c>
    </row>
    <row r="306" spans="1:3">
      <c r="A306" s="1" t="s">
        <v>58</v>
      </c>
      <c r="B306" s="1" t="s">
        <v>86</v>
      </c>
      <c r="C306" s="1">
        <v>12</v>
      </c>
    </row>
    <row r="307" spans="1:3">
      <c r="A307" s="1" t="s">
        <v>58</v>
      </c>
      <c r="B307" s="1" t="s">
        <v>87</v>
      </c>
      <c r="C307" s="1">
        <v>5</v>
      </c>
    </row>
    <row r="308" spans="1:3">
      <c r="A308" s="1" t="s">
        <v>58</v>
      </c>
      <c r="B308" s="1" t="s">
        <v>88</v>
      </c>
      <c r="C308" s="1">
        <v>7</v>
      </c>
    </row>
    <row r="309" spans="1:3">
      <c r="A309" s="1" t="s">
        <v>58</v>
      </c>
      <c r="B309" s="1" t="s">
        <v>89</v>
      </c>
      <c r="C309" s="1">
        <v>2</v>
      </c>
    </row>
    <row r="310" spans="1:3">
      <c r="A310" s="1" t="s">
        <v>58</v>
      </c>
      <c r="B310" s="1" t="s">
        <v>90</v>
      </c>
      <c r="C310" s="1">
        <v>5</v>
      </c>
    </row>
    <row r="311" spans="1:3">
      <c r="A311" s="1" t="s">
        <v>58</v>
      </c>
      <c r="B311" s="1" t="s">
        <v>91</v>
      </c>
      <c r="C311" s="1">
        <v>3</v>
      </c>
    </row>
    <row r="312" spans="1:3">
      <c r="A312" s="1" t="s">
        <v>58</v>
      </c>
      <c r="B312" s="1" t="s">
        <v>92</v>
      </c>
      <c r="C312" s="1">
        <v>6</v>
      </c>
    </row>
    <row r="313" spans="1:3">
      <c r="A313" s="1" t="s">
        <v>58</v>
      </c>
      <c r="B313" s="1" t="s">
        <v>93</v>
      </c>
      <c r="C313" s="1">
        <v>7</v>
      </c>
    </row>
    <row r="314" spans="1:3">
      <c r="A314" s="1" t="s">
        <v>58</v>
      </c>
      <c r="B314" s="1" t="s">
        <v>94</v>
      </c>
      <c r="C314" s="1">
        <v>8</v>
      </c>
    </row>
    <row r="315" spans="1:3">
      <c r="A315" s="1" t="s">
        <v>58</v>
      </c>
      <c r="B315" s="1" t="s">
        <v>95</v>
      </c>
      <c r="C315" s="1">
        <v>9</v>
      </c>
    </row>
    <row r="316" spans="1:3">
      <c r="A316" s="1" t="s">
        <v>58</v>
      </c>
      <c r="B316" s="1" t="s">
        <v>84</v>
      </c>
      <c r="C316" s="1">
        <v>8</v>
      </c>
    </row>
    <row r="317" spans="1:3">
      <c r="A317" s="1" t="s">
        <v>58</v>
      </c>
      <c r="B317" s="1" t="s">
        <v>85</v>
      </c>
      <c r="C317" s="1">
        <v>4</v>
      </c>
    </row>
    <row r="318" spans="1:3">
      <c r="A318" s="1" t="s">
        <v>59</v>
      </c>
      <c r="B318" s="1" t="s">
        <v>77</v>
      </c>
      <c r="C318" s="1">
        <v>3</v>
      </c>
    </row>
    <row r="319" spans="1:3">
      <c r="A319" s="1" t="s">
        <v>59</v>
      </c>
      <c r="B319" s="1" t="s">
        <v>78</v>
      </c>
      <c r="C319" s="1">
        <v>4</v>
      </c>
    </row>
    <row r="320" spans="1:3">
      <c r="A320" s="1" t="s">
        <v>59</v>
      </c>
      <c r="B320" s="1" t="s">
        <v>86</v>
      </c>
      <c r="C320" s="1">
        <v>12</v>
      </c>
    </row>
    <row r="321" spans="1:3">
      <c r="A321" s="1" t="s">
        <v>59</v>
      </c>
      <c r="B321" s="1" t="s">
        <v>87</v>
      </c>
      <c r="C321" s="1">
        <v>5</v>
      </c>
    </row>
    <row r="322" spans="1:3">
      <c r="A322" s="1" t="s">
        <v>59</v>
      </c>
      <c r="B322" s="1" t="s">
        <v>88</v>
      </c>
      <c r="C322" s="1">
        <v>7</v>
      </c>
    </row>
    <row r="323" spans="1:3">
      <c r="A323" s="1" t="s">
        <v>59</v>
      </c>
      <c r="B323" s="1" t="s">
        <v>89</v>
      </c>
      <c r="C323" s="1">
        <v>2</v>
      </c>
    </row>
    <row r="324" spans="1:3">
      <c r="A324" s="1" t="s">
        <v>59</v>
      </c>
      <c r="B324" s="1" t="s">
        <v>90</v>
      </c>
      <c r="C324" s="1">
        <v>5</v>
      </c>
    </row>
    <row r="325" spans="1:3">
      <c r="A325" s="1" t="s">
        <v>59</v>
      </c>
      <c r="B325" s="1" t="s">
        <v>91</v>
      </c>
      <c r="C325" s="1">
        <v>3</v>
      </c>
    </row>
    <row r="326" spans="1:3">
      <c r="A326" s="1" t="s">
        <v>59</v>
      </c>
      <c r="B326" s="1" t="s">
        <v>92</v>
      </c>
      <c r="C326" s="1">
        <v>6</v>
      </c>
    </row>
    <row r="327" spans="1:3">
      <c r="A327" s="1" t="s">
        <v>59</v>
      </c>
      <c r="B327" s="1" t="s">
        <v>93</v>
      </c>
      <c r="C327" s="1">
        <v>7</v>
      </c>
    </row>
    <row r="328" spans="1:3">
      <c r="A328" s="1" t="s">
        <v>59</v>
      </c>
      <c r="B328" s="1" t="s">
        <v>94</v>
      </c>
      <c r="C328" s="1">
        <v>8</v>
      </c>
    </row>
    <row r="329" spans="1:3">
      <c r="A329" s="1" t="s">
        <v>59</v>
      </c>
      <c r="B329" s="1" t="s">
        <v>95</v>
      </c>
      <c r="C329" s="1">
        <v>9</v>
      </c>
    </row>
    <row r="330" spans="1:3">
      <c r="A330" s="1" t="s">
        <v>59</v>
      </c>
      <c r="B330" s="1" t="s">
        <v>84</v>
      </c>
      <c r="C330" s="1">
        <v>8</v>
      </c>
    </row>
    <row r="331" spans="1:3">
      <c r="A331" s="1" t="s">
        <v>59</v>
      </c>
      <c r="B331" s="1" t="s">
        <v>85</v>
      </c>
      <c r="C331" s="1">
        <v>4</v>
      </c>
    </row>
    <row r="332" spans="1:3">
      <c r="A332" s="1" t="s">
        <v>60</v>
      </c>
      <c r="B332" s="1" t="s">
        <v>77</v>
      </c>
      <c r="C332" s="1">
        <v>3</v>
      </c>
    </row>
    <row r="333" spans="1:3">
      <c r="A333" s="1" t="s">
        <v>60</v>
      </c>
      <c r="B333" s="1" t="s">
        <v>78</v>
      </c>
      <c r="C333" s="1">
        <v>4</v>
      </c>
    </row>
    <row r="334" spans="1:3">
      <c r="A334" s="1" t="s">
        <v>60</v>
      </c>
      <c r="B334" s="1" t="s">
        <v>86</v>
      </c>
      <c r="C334" s="1">
        <v>12</v>
      </c>
    </row>
    <row r="335" spans="1:3">
      <c r="A335" s="1" t="s">
        <v>60</v>
      </c>
      <c r="B335" s="1" t="s">
        <v>87</v>
      </c>
      <c r="C335" s="1">
        <v>5</v>
      </c>
    </row>
    <row r="336" spans="1:3">
      <c r="A336" s="1" t="s">
        <v>60</v>
      </c>
      <c r="B336" s="1" t="s">
        <v>88</v>
      </c>
      <c r="C336" s="1">
        <v>7</v>
      </c>
    </row>
    <row r="337" spans="1:3">
      <c r="A337" s="1" t="s">
        <v>60</v>
      </c>
      <c r="B337" s="1" t="s">
        <v>89</v>
      </c>
      <c r="C337" s="1">
        <v>2</v>
      </c>
    </row>
    <row r="338" spans="1:3">
      <c r="A338" s="1" t="s">
        <v>60</v>
      </c>
      <c r="B338" s="1" t="s">
        <v>90</v>
      </c>
      <c r="C338" s="1">
        <v>5</v>
      </c>
    </row>
    <row r="339" spans="1:3">
      <c r="A339" s="1" t="s">
        <v>60</v>
      </c>
      <c r="B339" s="1" t="s">
        <v>91</v>
      </c>
      <c r="C339" s="1">
        <v>3</v>
      </c>
    </row>
    <row r="340" spans="1:3">
      <c r="A340" s="1" t="s">
        <v>60</v>
      </c>
      <c r="B340" s="1" t="s">
        <v>92</v>
      </c>
      <c r="C340" s="1">
        <v>6</v>
      </c>
    </row>
    <row r="341" spans="1:3">
      <c r="A341" s="1" t="s">
        <v>60</v>
      </c>
      <c r="B341" s="1" t="s">
        <v>93</v>
      </c>
      <c r="C341" s="1">
        <v>7</v>
      </c>
    </row>
    <row r="342" spans="1:3">
      <c r="A342" s="1" t="s">
        <v>60</v>
      </c>
      <c r="B342" s="1" t="s">
        <v>94</v>
      </c>
      <c r="C342" s="1">
        <v>8</v>
      </c>
    </row>
    <row r="343" spans="1:3">
      <c r="A343" s="1" t="s">
        <v>60</v>
      </c>
      <c r="B343" s="1" t="s">
        <v>95</v>
      </c>
      <c r="C343" s="1">
        <v>9</v>
      </c>
    </row>
    <row r="344" spans="1:3">
      <c r="A344" s="1" t="s">
        <v>60</v>
      </c>
      <c r="B344" s="1" t="s">
        <v>84</v>
      </c>
      <c r="C344" s="1">
        <v>8</v>
      </c>
    </row>
    <row r="345" spans="1:3">
      <c r="A345" s="1" t="s">
        <v>60</v>
      </c>
      <c r="B345" s="1" t="s">
        <v>85</v>
      </c>
      <c r="C345" s="1">
        <v>4</v>
      </c>
    </row>
    <row r="346" spans="1:3">
      <c r="A346" s="1" t="s">
        <v>61</v>
      </c>
      <c r="B346" s="1" t="s">
        <v>77</v>
      </c>
      <c r="C346" s="1">
        <v>3</v>
      </c>
    </row>
    <row r="347" spans="1:3">
      <c r="A347" s="1" t="s">
        <v>61</v>
      </c>
      <c r="B347" s="1" t="s">
        <v>78</v>
      </c>
      <c r="C347" s="1">
        <v>4</v>
      </c>
    </row>
    <row r="348" spans="1:3">
      <c r="A348" s="1" t="s">
        <v>61</v>
      </c>
      <c r="B348" s="1" t="s">
        <v>86</v>
      </c>
      <c r="C348" s="1">
        <v>12</v>
      </c>
    </row>
    <row r="349" spans="1:3">
      <c r="A349" s="1" t="s">
        <v>61</v>
      </c>
      <c r="B349" s="1" t="s">
        <v>87</v>
      </c>
      <c r="C349" s="1">
        <v>5</v>
      </c>
    </row>
    <row r="350" spans="1:3">
      <c r="A350" s="1" t="s">
        <v>61</v>
      </c>
      <c r="B350" s="1" t="s">
        <v>88</v>
      </c>
      <c r="C350" s="1">
        <v>7</v>
      </c>
    </row>
    <row r="351" spans="1:3">
      <c r="A351" s="1" t="s">
        <v>61</v>
      </c>
      <c r="B351" s="1" t="s">
        <v>89</v>
      </c>
      <c r="C351" s="1">
        <v>2</v>
      </c>
    </row>
    <row r="352" spans="1:3">
      <c r="A352" s="1" t="s">
        <v>61</v>
      </c>
      <c r="B352" s="1" t="s">
        <v>90</v>
      </c>
      <c r="C352" s="1">
        <v>5</v>
      </c>
    </row>
    <row r="353" spans="1:3">
      <c r="A353" s="1" t="s">
        <v>61</v>
      </c>
      <c r="B353" s="1" t="s">
        <v>91</v>
      </c>
      <c r="C353" s="1">
        <v>3</v>
      </c>
    </row>
    <row r="354" spans="1:3">
      <c r="A354" s="1" t="s">
        <v>61</v>
      </c>
      <c r="B354" s="1" t="s">
        <v>92</v>
      </c>
      <c r="C354" s="1">
        <v>6</v>
      </c>
    </row>
    <row r="355" spans="1:3">
      <c r="A355" s="1" t="s">
        <v>61</v>
      </c>
      <c r="B355" s="1" t="s">
        <v>93</v>
      </c>
      <c r="C355" s="1">
        <v>7</v>
      </c>
    </row>
    <row r="356" spans="1:3">
      <c r="A356" s="1" t="s">
        <v>61</v>
      </c>
      <c r="B356" s="1" t="s">
        <v>94</v>
      </c>
      <c r="C356" s="1">
        <v>8</v>
      </c>
    </row>
    <row r="357" spans="1:3">
      <c r="A357" s="1" t="s">
        <v>61</v>
      </c>
      <c r="B357" s="1" t="s">
        <v>95</v>
      </c>
      <c r="C357" s="1">
        <v>9</v>
      </c>
    </row>
    <row r="358" spans="1:3">
      <c r="A358" s="1" t="s">
        <v>61</v>
      </c>
      <c r="B358" s="1" t="s">
        <v>84</v>
      </c>
      <c r="C358" s="1">
        <v>8</v>
      </c>
    </row>
    <row r="359" spans="1:3">
      <c r="A359" s="1" t="s">
        <v>61</v>
      </c>
      <c r="B359" s="1" t="s">
        <v>85</v>
      </c>
      <c r="C359" s="1">
        <v>4</v>
      </c>
    </row>
    <row r="360" spans="1:3">
      <c r="A360" s="1" t="s">
        <v>62</v>
      </c>
      <c r="B360" s="1" t="s">
        <v>77</v>
      </c>
      <c r="C360" s="1">
        <v>3</v>
      </c>
    </row>
    <row r="361" spans="1:3">
      <c r="A361" s="1" t="s">
        <v>62</v>
      </c>
      <c r="B361" s="1" t="s">
        <v>78</v>
      </c>
      <c r="C361" s="1">
        <v>4</v>
      </c>
    </row>
    <row r="362" spans="1:3">
      <c r="A362" s="1" t="s">
        <v>62</v>
      </c>
      <c r="B362" s="1" t="s">
        <v>86</v>
      </c>
      <c r="C362" s="1">
        <v>12</v>
      </c>
    </row>
    <row r="363" spans="1:3">
      <c r="A363" s="1" t="s">
        <v>62</v>
      </c>
      <c r="B363" s="1" t="s">
        <v>87</v>
      </c>
      <c r="C363" s="1">
        <v>5</v>
      </c>
    </row>
    <row r="364" spans="1:3">
      <c r="A364" s="1" t="s">
        <v>62</v>
      </c>
      <c r="B364" s="1" t="s">
        <v>88</v>
      </c>
      <c r="C364" s="1">
        <v>7</v>
      </c>
    </row>
    <row r="365" spans="1:3">
      <c r="A365" s="1" t="s">
        <v>62</v>
      </c>
      <c r="B365" s="1" t="s">
        <v>89</v>
      </c>
      <c r="C365" s="1">
        <v>2</v>
      </c>
    </row>
    <row r="366" spans="1:3">
      <c r="A366" s="1" t="s">
        <v>62</v>
      </c>
      <c r="B366" s="1" t="s">
        <v>90</v>
      </c>
      <c r="C366" s="1">
        <v>5</v>
      </c>
    </row>
    <row r="367" spans="1:3">
      <c r="A367" s="1" t="s">
        <v>62</v>
      </c>
      <c r="B367" s="1" t="s">
        <v>91</v>
      </c>
      <c r="C367" s="1">
        <v>3</v>
      </c>
    </row>
    <row r="368" spans="1:3">
      <c r="A368" s="1" t="s">
        <v>62</v>
      </c>
      <c r="B368" s="1" t="s">
        <v>92</v>
      </c>
      <c r="C368" s="1">
        <v>6</v>
      </c>
    </row>
    <row r="369" spans="1:3">
      <c r="A369" s="1" t="s">
        <v>62</v>
      </c>
      <c r="B369" s="1" t="s">
        <v>93</v>
      </c>
      <c r="C369" s="1">
        <v>7</v>
      </c>
    </row>
    <row r="370" spans="1:3">
      <c r="A370" s="1" t="s">
        <v>62</v>
      </c>
      <c r="B370" s="1" t="s">
        <v>94</v>
      </c>
      <c r="C370" s="1">
        <v>8</v>
      </c>
    </row>
    <row r="371" spans="1:3">
      <c r="A371" s="1" t="s">
        <v>62</v>
      </c>
      <c r="B371" s="1" t="s">
        <v>95</v>
      </c>
      <c r="C371" s="1">
        <v>9</v>
      </c>
    </row>
    <row r="372" spans="1:3">
      <c r="A372" s="1" t="s">
        <v>62</v>
      </c>
      <c r="B372" s="1" t="s">
        <v>84</v>
      </c>
      <c r="C372" s="1">
        <v>8</v>
      </c>
    </row>
    <row r="373" spans="1:3">
      <c r="A373" s="1" t="s">
        <v>62</v>
      </c>
      <c r="B373" s="1" t="s">
        <v>85</v>
      </c>
      <c r="C373" s="1">
        <v>4</v>
      </c>
    </row>
    <row r="374" spans="1:3">
      <c r="A374" s="1" t="s">
        <v>63</v>
      </c>
      <c r="B374" s="1" t="s">
        <v>77</v>
      </c>
      <c r="C374" s="1">
        <v>3</v>
      </c>
    </row>
    <row r="375" spans="1:3">
      <c r="A375" s="1" t="s">
        <v>63</v>
      </c>
      <c r="B375" s="1" t="s">
        <v>78</v>
      </c>
      <c r="C375" s="1">
        <v>4</v>
      </c>
    </row>
    <row r="376" spans="1:3">
      <c r="A376" s="1" t="s">
        <v>63</v>
      </c>
      <c r="B376" s="1" t="s">
        <v>86</v>
      </c>
      <c r="C376" s="1">
        <v>12</v>
      </c>
    </row>
    <row r="377" spans="1:3">
      <c r="A377" s="1" t="s">
        <v>63</v>
      </c>
      <c r="B377" s="1" t="s">
        <v>87</v>
      </c>
      <c r="C377" s="1">
        <v>5</v>
      </c>
    </row>
    <row r="378" spans="1:3">
      <c r="A378" s="1" t="s">
        <v>63</v>
      </c>
      <c r="B378" s="1" t="s">
        <v>88</v>
      </c>
      <c r="C378" s="1">
        <v>7</v>
      </c>
    </row>
    <row r="379" spans="1:3">
      <c r="A379" s="1" t="s">
        <v>63</v>
      </c>
      <c r="B379" s="1" t="s">
        <v>89</v>
      </c>
      <c r="C379" s="1">
        <v>2</v>
      </c>
    </row>
    <row r="380" spans="1:3">
      <c r="A380" s="1" t="s">
        <v>63</v>
      </c>
      <c r="B380" s="1" t="s">
        <v>90</v>
      </c>
      <c r="C380" s="1">
        <v>5</v>
      </c>
    </row>
    <row r="381" spans="1:3">
      <c r="A381" s="1" t="s">
        <v>63</v>
      </c>
      <c r="B381" s="1" t="s">
        <v>91</v>
      </c>
      <c r="C381" s="1">
        <v>3</v>
      </c>
    </row>
    <row r="382" spans="1:3">
      <c r="A382" s="1" t="s">
        <v>63</v>
      </c>
      <c r="B382" s="1" t="s">
        <v>92</v>
      </c>
      <c r="C382" s="1">
        <v>6</v>
      </c>
    </row>
    <row r="383" spans="1:3">
      <c r="A383" s="1" t="s">
        <v>63</v>
      </c>
      <c r="B383" s="1" t="s">
        <v>93</v>
      </c>
      <c r="C383" s="1">
        <v>7</v>
      </c>
    </row>
    <row r="384" spans="1:3">
      <c r="A384" s="1" t="s">
        <v>63</v>
      </c>
      <c r="B384" s="1" t="s">
        <v>94</v>
      </c>
      <c r="C384" s="1">
        <v>8</v>
      </c>
    </row>
    <row r="385" spans="1:3">
      <c r="A385" s="1" t="s">
        <v>63</v>
      </c>
      <c r="B385" s="1" t="s">
        <v>95</v>
      </c>
      <c r="C385" s="1">
        <v>9</v>
      </c>
    </row>
    <row r="386" spans="1:3">
      <c r="A386" s="1" t="s">
        <v>63</v>
      </c>
      <c r="B386" s="1" t="s">
        <v>84</v>
      </c>
      <c r="C386" s="1">
        <v>8</v>
      </c>
    </row>
    <row r="387" spans="1:3">
      <c r="A387" s="1" t="s">
        <v>63</v>
      </c>
      <c r="B387" s="1" t="s">
        <v>85</v>
      </c>
      <c r="C387" s="1">
        <v>4</v>
      </c>
    </row>
    <row r="388" spans="1:3">
      <c r="A388" s="1" t="s">
        <v>64</v>
      </c>
      <c r="B388" s="1" t="s">
        <v>77</v>
      </c>
      <c r="C388" s="1">
        <v>3</v>
      </c>
    </row>
    <row r="389" spans="1:3">
      <c r="A389" s="1" t="s">
        <v>64</v>
      </c>
      <c r="B389" s="1" t="s">
        <v>78</v>
      </c>
      <c r="C389" s="1">
        <v>4</v>
      </c>
    </row>
    <row r="390" spans="1:3">
      <c r="A390" s="1" t="s">
        <v>64</v>
      </c>
      <c r="B390" s="1" t="s">
        <v>86</v>
      </c>
      <c r="C390" s="1">
        <v>12</v>
      </c>
    </row>
    <row r="391" spans="1:3">
      <c r="A391" s="1" t="s">
        <v>64</v>
      </c>
      <c r="B391" s="1" t="s">
        <v>87</v>
      </c>
      <c r="C391" s="1">
        <v>5</v>
      </c>
    </row>
    <row r="392" spans="1:3">
      <c r="A392" s="1" t="s">
        <v>64</v>
      </c>
      <c r="B392" s="1" t="s">
        <v>88</v>
      </c>
      <c r="C392" s="1">
        <v>7</v>
      </c>
    </row>
    <row r="393" spans="1:3">
      <c r="A393" s="1" t="s">
        <v>64</v>
      </c>
      <c r="B393" s="1" t="s">
        <v>89</v>
      </c>
      <c r="C393" s="1">
        <v>2</v>
      </c>
    </row>
    <row r="394" spans="1:3">
      <c r="A394" s="1" t="s">
        <v>64</v>
      </c>
      <c r="B394" s="1" t="s">
        <v>90</v>
      </c>
      <c r="C394" s="1">
        <v>5</v>
      </c>
    </row>
    <row r="395" spans="1:3">
      <c r="A395" s="1" t="s">
        <v>64</v>
      </c>
      <c r="B395" s="1" t="s">
        <v>91</v>
      </c>
      <c r="C395" s="1">
        <v>3</v>
      </c>
    </row>
    <row r="396" spans="1:3">
      <c r="A396" s="1" t="s">
        <v>64</v>
      </c>
      <c r="B396" s="1" t="s">
        <v>92</v>
      </c>
      <c r="C396" s="1">
        <v>6</v>
      </c>
    </row>
    <row r="397" spans="1:3">
      <c r="A397" s="1" t="s">
        <v>64</v>
      </c>
      <c r="B397" s="1" t="s">
        <v>93</v>
      </c>
      <c r="C397" s="1">
        <v>7</v>
      </c>
    </row>
    <row r="398" spans="1:3">
      <c r="A398" s="1" t="s">
        <v>64</v>
      </c>
      <c r="B398" s="1" t="s">
        <v>94</v>
      </c>
      <c r="C398" s="1">
        <v>8</v>
      </c>
    </row>
    <row r="399" spans="1:3">
      <c r="A399" s="1" t="s">
        <v>64</v>
      </c>
      <c r="B399" s="1" t="s">
        <v>95</v>
      </c>
      <c r="C399" s="1">
        <v>9</v>
      </c>
    </row>
    <row r="400" spans="1:3">
      <c r="A400" s="1" t="s">
        <v>64</v>
      </c>
      <c r="B400" s="1" t="s">
        <v>84</v>
      </c>
      <c r="C400" s="1">
        <v>8</v>
      </c>
    </row>
    <row r="401" spans="1:3">
      <c r="A401" s="1" t="s">
        <v>64</v>
      </c>
      <c r="B401" s="1" t="s">
        <v>85</v>
      </c>
      <c r="C401" s="1">
        <v>4</v>
      </c>
    </row>
    <row r="402" spans="1:3">
      <c r="A402" s="1" t="s">
        <v>65</v>
      </c>
      <c r="B402" s="1" t="s">
        <v>77</v>
      </c>
      <c r="C402" s="1">
        <v>3</v>
      </c>
    </row>
    <row r="403" spans="1:3">
      <c r="A403" s="1" t="s">
        <v>65</v>
      </c>
      <c r="B403" s="1" t="s">
        <v>78</v>
      </c>
      <c r="C403" s="1">
        <v>4</v>
      </c>
    </row>
    <row r="404" spans="1:3">
      <c r="A404" s="1" t="s">
        <v>65</v>
      </c>
      <c r="B404" s="1" t="s">
        <v>86</v>
      </c>
      <c r="C404" s="1">
        <v>12</v>
      </c>
    </row>
    <row r="405" spans="1:3">
      <c r="A405" s="1" t="s">
        <v>65</v>
      </c>
      <c r="B405" s="1" t="s">
        <v>87</v>
      </c>
      <c r="C405" s="1">
        <v>5</v>
      </c>
    </row>
    <row r="406" spans="1:3">
      <c r="A406" s="1" t="s">
        <v>65</v>
      </c>
      <c r="B406" s="1" t="s">
        <v>88</v>
      </c>
      <c r="C406" s="1">
        <v>7</v>
      </c>
    </row>
    <row r="407" spans="1:3">
      <c r="A407" s="1" t="s">
        <v>65</v>
      </c>
      <c r="B407" s="1" t="s">
        <v>89</v>
      </c>
      <c r="C407" s="1">
        <v>2</v>
      </c>
    </row>
    <row r="408" spans="1:3">
      <c r="A408" s="1" t="s">
        <v>65</v>
      </c>
      <c r="B408" s="1" t="s">
        <v>90</v>
      </c>
      <c r="C408" s="1">
        <v>5</v>
      </c>
    </row>
    <row r="409" spans="1:3">
      <c r="A409" s="1" t="s">
        <v>65</v>
      </c>
      <c r="B409" s="1" t="s">
        <v>91</v>
      </c>
      <c r="C409" s="1">
        <v>3</v>
      </c>
    </row>
    <row r="410" spans="1:3">
      <c r="A410" s="1" t="s">
        <v>65</v>
      </c>
      <c r="B410" s="1" t="s">
        <v>92</v>
      </c>
      <c r="C410" s="1">
        <v>6</v>
      </c>
    </row>
    <row r="411" spans="1:3">
      <c r="A411" s="1" t="s">
        <v>65</v>
      </c>
      <c r="B411" s="1" t="s">
        <v>93</v>
      </c>
      <c r="C411" s="1">
        <v>7</v>
      </c>
    </row>
    <row r="412" spans="1:3">
      <c r="A412" s="1" t="s">
        <v>65</v>
      </c>
      <c r="B412" s="1" t="s">
        <v>94</v>
      </c>
      <c r="C412" s="1">
        <v>8</v>
      </c>
    </row>
    <row r="413" spans="1:3">
      <c r="A413" s="1" t="s">
        <v>65</v>
      </c>
      <c r="B413" s="1" t="s">
        <v>95</v>
      </c>
      <c r="C413" s="1">
        <v>9</v>
      </c>
    </row>
    <row r="414" spans="1:3">
      <c r="A414" s="1" t="s">
        <v>65</v>
      </c>
      <c r="B414" s="1" t="s">
        <v>84</v>
      </c>
      <c r="C414" s="1">
        <v>8</v>
      </c>
    </row>
    <row r="415" spans="1:3">
      <c r="A415" s="1" t="s">
        <v>65</v>
      </c>
      <c r="B415" s="1" t="s">
        <v>85</v>
      </c>
      <c r="C415" s="1">
        <v>4</v>
      </c>
    </row>
    <row r="416" spans="1:3">
      <c r="A416" s="1" t="s">
        <v>66</v>
      </c>
      <c r="B416" s="1" t="s">
        <v>77</v>
      </c>
      <c r="C416" s="1">
        <v>3</v>
      </c>
    </row>
    <row r="417" spans="1:3">
      <c r="A417" s="1" t="s">
        <v>66</v>
      </c>
      <c r="B417" s="1" t="s">
        <v>78</v>
      </c>
      <c r="C417" s="1">
        <v>4</v>
      </c>
    </row>
    <row r="418" spans="1:3">
      <c r="A418" s="1" t="s">
        <v>66</v>
      </c>
      <c r="B418" s="1" t="s">
        <v>86</v>
      </c>
      <c r="C418" s="1">
        <v>12</v>
      </c>
    </row>
    <row r="419" spans="1:3">
      <c r="A419" s="1" t="s">
        <v>66</v>
      </c>
      <c r="B419" s="1" t="s">
        <v>87</v>
      </c>
      <c r="C419" s="1">
        <v>5</v>
      </c>
    </row>
    <row r="420" spans="1:3">
      <c r="A420" s="1" t="s">
        <v>66</v>
      </c>
      <c r="B420" s="1" t="s">
        <v>88</v>
      </c>
      <c r="C420" s="1">
        <v>7</v>
      </c>
    </row>
    <row r="421" spans="1:3">
      <c r="A421" s="1" t="s">
        <v>66</v>
      </c>
      <c r="B421" s="1" t="s">
        <v>89</v>
      </c>
      <c r="C421" s="1">
        <v>2</v>
      </c>
    </row>
    <row r="422" spans="1:3">
      <c r="A422" s="1" t="s">
        <v>66</v>
      </c>
      <c r="B422" s="1" t="s">
        <v>90</v>
      </c>
      <c r="C422" s="1">
        <v>5</v>
      </c>
    </row>
    <row r="423" spans="1:3">
      <c r="A423" s="1" t="s">
        <v>66</v>
      </c>
      <c r="B423" s="1" t="s">
        <v>91</v>
      </c>
      <c r="C423" s="1">
        <v>3</v>
      </c>
    </row>
    <row r="424" spans="1:3">
      <c r="A424" s="1" t="s">
        <v>66</v>
      </c>
      <c r="B424" s="1" t="s">
        <v>92</v>
      </c>
      <c r="C424" s="1">
        <v>6</v>
      </c>
    </row>
    <row r="425" spans="1:3">
      <c r="A425" s="1" t="s">
        <v>66</v>
      </c>
      <c r="B425" s="1" t="s">
        <v>93</v>
      </c>
      <c r="C425" s="1">
        <v>7</v>
      </c>
    </row>
    <row r="426" spans="1:3">
      <c r="A426" s="1" t="s">
        <v>66</v>
      </c>
      <c r="B426" s="1" t="s">
        <v>94</v>
      </c>
      <c r="C426" s="1">
        <v>8</v>
      </c>
    </row>
    <row r="427" spans="1:3">
      <c r="A427" s="1" t="s">
        <v>66</v>
      </c>
      <c r="B427" s="1" t="s">
        <v>95</v>
      </c>
      <c r="C427" s="1">
        <v>9</v>
      </c>
    </row>
    <row r="428" spans="1:3">
      <c r="A428" s="1" t="s">
        <v>66</v>
      </c>
      <c r="B428" s="1" t="s">
        <v>84</v>
      </c>
      <c r="C428" s="1">
        <v>8</v>
      </c>
    </row>
    <row r="429" spans="1:3">
      <c r="A429" s="1" t="s">
        <v>66</v>
      </c>
      <c r="B429" s="1" t="s">
        <v>85</v>
      </c>
      <c r="C429" s="1">
        <v>4</v>
      </c>
    </row>
    <row r="430" spans="1:3">
      <c r="A430" s="1" t="s">
        <v>67</v>
      </c>
      <c r="B430" s="1" t="s">
        <v>77</v>
      </c>
      <c r="C430" s="1">
        <v>3</v>
      </c>
    </row>
    <row r="431" spans="1:3">
      <c r="A431" s="1" t="s">
        <v>67</v>
      </c>
      <c r="B431" s="1" t="s">
        <v>78</v>
      </c>
      <c r="C431" s="1">
        <v>4</v>
      </c>
    </row>
    <row r="432" spans="1:3">
      <c r="A432" s="1" t="s">
        <v>67</v>
      </c>
      <c r="B432" s="1" t="s">
        <v>86</v>
      </c>
      <c r="C432" s="1">
        <v>12</v>
      </c>
    </row>
    <row r="433" spans="1:3">
      <c r="A433" s="1" t="s">
        <v>67</v>
      </c>
      <c r="B433" s="1" t="s">
        <v>87</v>
      </c>
      <c r="C433" s="1">
        <v>5</v>
      </c>
    </row>
    <row r="434" spans="1:3">
      <c r="A434" s="1" t="s">
        <v>67</v>
      </c>
      <c r="B434" s="1" t="s">
        <v>88</v>
      </c>
      <c r="C434" s="1">
        <v>7</v>
      </c>
    </row>
    <row r="435" spans="1:3">
      <c r="A435" s="1" t="s">
        <v>67</v>
      </c>
      <c r="B435" s="1" t="s">
        <v>89</v>
      </c>
      <c r="C435" s="1">
        <v>2</v>
      </c>
    </row>
    <row r="436" spans="1:3">
      <c r="A436" s="1" t="s">
        <v>67</v>
      </c>
      <c r="B436" s="1" t="s">
        <v>90</v>
      </c>
      <c r="C436" s="1">
        <v>5</v>
      </c>
    </row>
    <row r="437" spans="1:3">
      <c r="A437" s="1" t="s">
        <v>67</v>
      </c>
      <c r="B437" s="1" t="s">
        <v>91</v>
      </c>
      <c r="C437" s="1">
        <v>3</v>
      </c>
    </row>
    <row r="438" spans="1:3">
      <c r="A438" s="1" t="s">
        <v>67</v>
      </c>
      <c r="B438" s="1" t="s">
        <v>92</v>
      </c>
      <c r="C438" s="1">
        <v>6</v>
      </c>
    </row>
    <row r="439" spans="1:3">
      <c r="A439" s="1" t="s">
        <v>67</v>
      </c>
      <c r="B439" s="1" t="s">
        <v>93</v>
      </c>
      <c r="C439" s="1">
        <v>7</v>
      </c>
    </row>
    <row r="440" spans="1:3">
      <c r="A440" s="1" t="s">
        <v>67</v>
      </c>
      <c r="B440" s="1" t="s">
        <v>94</v>
      </c>
      <c r="C440" s="1">
        <v>8</v>
      </c>
    </row>
    <row r="441" spans="1:3">
      <c r="A441" s="1" t="s">
        <v>67</v>
      </c>
      <c r="B441" s="1" t="s">
        <v>95</v>
      </c>
      <c r="C441" s="1">
        <v>9</v>
      </c>
    </row>
    <row r="442" spans="1:3">
      <c r="A442" s="1" t="s">
        <v>67</v>
      </c>
      <c r="B442" s="1" t="s">
        <v>84</v>
      </c>
      <c r="C442" s="1">
        <v>8</v>
      </c>
    </row>
    <row r="443" spans="1:3">
      <c r="A443" s="1" t="s">
        <v>67</v>
      </c>
      <c r="B443" s="1" t="s">
        <v>85</v>
      </c>
      <c r="C443" s="1">
        <v>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96D4D-7D0D-422C-AB31-2069EDE87E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User Guide</vt:lpstr>
      <vt:lpstr>Dashboard</vt:lpstr>
      <vt:lpstr>Data Entry</vt:lpstr>
      <vt:lpstr>Processed Data</vt:lpstr>
      <vt:lpstr>Dynamic Graphs</vt:lpstr>
      <vt:lpstr>Womens Data</vt:lpstr>
      <vt:lpstr>Womens Manipulated Data</vt:lpstr>
      <vt:lpstr>Womens Dynamic 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singh</dc:creator>
  <cp:lastModifiedBy>raj singh</cp:lastModifiedBy>
  <cp:lastPrinted>2025-08-31T19:37:46Z</cp:lastPrinted>
  <dcterms:created xsi:type="dcterms:W3CDTF">2025-08-31T18:53:30Z</dcterms:created>
  <dcterms:modified xsi:type="dcterms:W3CDTF">2026-08-28T10:01:13Z</dcterms:modified>
</cp:coreProperties>
</file>